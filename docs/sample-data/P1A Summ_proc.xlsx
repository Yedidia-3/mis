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esktop\REPORTS 2025-2026\MID TERM\LOWER\"/>
    </mc:Choice>
  </mc:AlternateContent>
  <bookViews>
    <workbookView xWindow="0" yWindow="600" windowWidth="20730" windowHeight="8910" activeTab="2"/>
  </bookViews>
  <sheets>
    <sheet name="Summary" sheetId="1" r:id="rId1"/>
    <sheet name="PROCRA" sheetId="3" r:id="rId2"/>
    <sheet name="P1A" sheetId="2" r:id="rId3"/>
  </sheets>
  <definedNames>
    <definedName name="_xlnm.Print_Area" localSheetId="2">P1A!$B$1:$K$836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87" i="2" l="1"/>
  <c r="B45" i="3" l="1"/>
  <c r="B4" i="3"/>
  <c r="B41" i="3"/>
  <c r="B8" i="3"/>
  <c r="B32" i="3"/>
  <c r="B3" i="3"/>
  <c r="B46" i="3"/>
  <c r="B48" i="3"/>
  <c r="B5" i="3"/>
  <c r="B25" i="3"/>
  <c r="B27" i="3"/>
  <c r="B26" i="3"/>
  <c r="B43" i="3"/>
  <c r="B42" i="3"/>
  <c r="B37" i="3"/>
  <c r="B21" i="3"/>
  <c r="B11" i="3"/>
  <c r="B33" i="3"/>
  <c r="B10" i="3"/>
  <c r="B40" i="3"/>
  <c r="B7" i="3"/>
  <c r="B22" i="3"/>
  <c r="B36" i="3"/>
  <c r="B28" i="3"/>
  <c r="B6" i="3"/>
  <c r="B30" i="3"/>
  <c r="B20" i="3"/>
  <c r="B13" i="3"/>
  <c r="B38" i="3"/>
  <c r="B35" i="3"/>
  <c r="B19" i="3"/>
  <c r="B14" i="3"/>
  <c r="B15" i="3"/>
  <c r="B23" i="3"/>
  <c r="B9" i="3"/>
  <c r="B24" i="3"/>
  <c r="B39" i="3"/>
  <c r="B18" i="3"/>
  <c r="B31" i="3"/>
  <c r="B12" i="3"/>
  <c r="B17" i="3"/>
  <c r="B44" i="3"/>
  <c r="B47" i="3"/>
  <c r="B16" i="3"/>
  <c r="C16" i="3"/>
  <c r="B34" i="3"/>
  <c r="C34" i="3"/>
  <c r="B29" i="3"/>
  <c r="I823" i="2"/>
  <c r="I822" i="2"/>
  <c r="I821" i="2"/>
  <c r="I820" i="2"/>
  <c r="I819" i="2"/>
  <c r="I818" i="2"/>
  <c r="H825" i="2"/>
  <c r="S7" i="1"/>
  <c r="D826" i="2" s="1"/>
  <c r="D823" i="2"/>
  <c r="D822" i="2"/>
  <c r="D821" i="2"/>
  <c r="D820" i="2"/>
  <c r="D819" i="2"/>
  <c r="D818" i="2"/>
  <c r="D824" i="2" l="1"/>
  <c r="D825" i="2" s="1"/>
  <c r="I826" i="2"/>
  <c r="H815" i="2"/>
  <c r="C815" i="2"/>
  <c r="Q53" i="1"/>
  <c r="R52" i="1"/>
  <c r="Q52" i="1"/>
  <c r="R53" i="1" l="1"/>
  <c r="Q51" i="1" l="1"/>
  <c r="R50" i="1"/>
  <c r="R51" i="1" s="1"/>
  <c r="Q50" i="1"/>
  <c r="I783" i="2"/>
  <c r="P51" i="1" l="1"/>
  <c r="C47" i="3" s="1"/>
  <c r="I675" i="2"/>
  <c r="P50" i="1"/>
  <c r="C44" i="3" s="1"/>
  <c r="D711" i="2"/>
  <c r="I747" i="2"/>
  <c r="I711" i="2"/>
  <c r="D783" i="2"/>
  <c r="D675" i="2"/>
  <c r="D747" i="2"/>
  <c r="Q49" i="1"/>
  <c r="Q48" i="1"/>
  <c r="Q47" i="1"/>
  <c r="Q46" i="1"/>
  <c r="Q45" i="1"/>
  <c r="Q44" i="1"/>
  <c r="Q35" i="1" l="1"/>
  <c r="Q26" i="1"/>
  <c r="Q13" i="1"/>
  <c r="Q43" i="1" l="1"/>
  <c r="Q42" i="1"/>
  <c r="Q41" i="1"/>
  <c r="Q40" i="1"/>
  <c r="H16" i="2" l="1"/>
  <c r="C32" i="2" l="1"/>
  <c r="H32" i="2" s="1"/>
  <c r="H68" i="2" s="1"/>
  <c r="H104" i="2" s="1"/>
  <c r="H140" i="2" s="1"/>
  <c r="H176" i="2" s="1"/>
  <c r="H212" i="2" s="1"/>
  <c r="H248" i="2" s="1"/>
  <c r="H284" i="2" s="1"/>
  <c r="H320" i="2" s="1"/>
  <c r="H356" i="2" s="1"/>
  <c r="H392" i="2" s="1"/>
  <c r="H428" i="2" s="1"/>
  <c r="H464" i="2" s="1"/>
  <c r="H500" i="2" s="1"/>
  <c r="H536" i="2" s="1"/>
  <c r="H572" i="2" s="1"/>
  <c r="H608" i="2" s="1"/>
  <c r="H644" i="2" s="1"/>
  <c r="H772" i="2"/>
  <c r="C772" i="2"/>
  <c r="H736" i="2"/>
  <c r="C736" i="2"/>
  <c r="H700" i="2"/>
  <c r="C700" i="2"/>
  <c r="H664" i="2"/>
  <c r="C664" i="2"/>
  <c r="H628" i="2"/>
  <c r="C628" i="2"/>
  <c r="H592" i="2"/>
  <c r="C592" i="2"/>
  <c r="H556" i="2"/>
  <c r="C556" i="2"/>
  <c r="H520" i="2"/>
  <c r="C520" i="2"/>
  <c r="H484" i="2"/>
  <c r="C484" i="2"/>
  <c r="H448" i="2"/>
  <c r="C448" i="2"/>
  <c r="H412" i="2"/>
  <c r="C412" i="2"/>
  <c r="H376" i="2"/>
  <c r="C376" i="2"/>
  <c r="H340" i="2"/>
  <c r="C340" i="2"/>
  <c r="H304" i="2"/>
  <c r="C304" i="2"/>
  <c r="H268" i="2"/>
  <c r="C268" i="2"/>
  <c r="H232" i="2"/>
  <c r="C232" i="2"/>
  <c r="H196" i="2"/>
  <c r="C196" i="2"/>
  <c r="H160" i="2"/>
  <c r="C160" i="2"/>
  <c r="H124" i="2"/>
  <c r="C124" i="2"/>
  <c r="H88" i="2"/>
  <c r="C88" i="2"/>
  <c r="H52" i="2"/>
  <c r="C52" i="2"/>
  <c r="C68" i="2" l="1"/>
  <c r="C104" i="2" s="1"/>
  <c r="C140" i="2" s="1"/>
  <c r="C176" i="2" s="1"/>
  <c r="C212" i="2" s="1"/>
  <c r="C248" i="2" s="1"/>
  <c r="C284" i="2" s="1"/>
  <c r="C320" i="2" s="1"/>
  <c r="C356" i="2" s="1"/>
  <c r="C392" i="2" s="1"/>
  <c r="C428" i="2" s="1"/>
  <c r="C464" i="2" s="1"/>
  <c r="C500" i="2" s="1"/>
  <c r="C536" i="2" s="1"/>
  <c r="C572" i="2" s="1"/>
  <c r="C608" i="2" s="1"/>
  <c r="C644" i="2" s="1"/>
  <c r="C680" i="2" s="1"/>
  <c r="C716" i="2" s="1"/>
  <c r="C752" i="2" s="1"/>
  <c r="C16" i="2"/>
  <c r="E11" i="2"/>
  <c r="E8" i="2"/>
  <c r="E6" i="2"/>
  <c r="I24" i="2"/>
  <c r="D60" i="2"/>
  <c r="I60" i="2"/>
  <c r="D96" i="2"/>
  <c r="I96" i="2"/>
  <c r="D132" i="2"/>
  <c r="I132" i="2"/>
  <c r="D168" i="2"/>
  <c r="I168" i="2"/>
  <c r="D204" i="2"/>
  <c r="I204" i="2"/>
  <c r="D240" i="2"/>
  <c r="I240" i="2"/>
  <c r="D276" i="2"/>
  <c r="I276" i="2"/>
  <c r="D312" i="2"/>
  <c r="I312" i="2"/>
  <c r="D348" i="2"/>
  <c r="I348" i="2"/>
  <c r="D384" i="2"/>
  <c r="I384" i="2"/>
  <c r="D420" i="2"/>
  <c r="I420" i="2"/>
  <c r="D456" i="2"/>
  <c r="I456" i="2"/>
  <c r="D492" i="2"/>
  <c r="I492" i="2"/>
  <c r="D528" i="2"/>
  <c r="I528" i="2"/>
  <c r="D564" i="2"/>
  <c r="I564" i="2"/>
  <c r="D600" i="2"/>
  <c r="I600" i="2"/>
  <c r="D636" i="2"/>
  <c r="I636" i="2"/>
  <c r="D672" i="2"/>
  <c r="I672" i="2"/>
  <c r="D708" i="2"/>
  <c r="I708" i="2"/>
  <c r="D744" i="2"/>
  <c r="I744" i="2"/>
  <c r="D780" i="2"/>
  <c r="I780" i="2"/>
  <c r="D24" i="2"/>
  <c r="D59" i="2"/>
  <c r="I59" i="2"/>
  <c r="D95" i="2"/>
  <c r="I95" i="2"/>
  <c r="D131" i="2"/>
  <c r="I131" i="2"/>
  <c r="D167" i="2"/>
  <c r="I167" i="2"/>
  <c r="D203" i="2"/>
  <c r="I203" i="2"/>
  <c r="D239" i="2"/>
  <c r="I239" i="2"/>
  <c r="D275" i="2"/>
  <c r="I275" i="2"/>
  <c r="D311" i="2"/>
  <c r="I311" i="2"/>
  <c r="D347" i="2"/>
  <c r="I347" i="2"/>
  <c r="D383" i="2"/>
  <c r="I383" i="2"/>
  <c r="D419" i="2"/>
  <c r="I419" i="2"/>
  <c r="D455" i="2"/>
  <c r="I455" i="2"/>
  <c r="D491" i="2"/>
  <c r="I491" i="2"/>
  <c r="D527" i="2"/>
  <c r="I527" i="2"/>
  <c r="D563" i="2"/>
  <c r="I563" i="2"/>
  <c r="D599" i="2"/>
  <c r="I599" i="2"/>
  <c r="D635" i="2"/>
  <c r="I635" i="2"/>
  <c r="D671" i="2"/>
  <c r="I671" i="2"/>
  <c r="D707" i="2"/>
  <c r="I707" i="2"/>
  <c r="D743" i="2"/>
  <c r="I743" i="2"/>
  <c r="D779" i="2"/>
  <c r="I779" i="2"/>
  <c r="I23" i="2"/>
  <c r="D23" i="2"/>
  <c r="D58" i="2"/>
  <c r="I58" i="2"/>
  <c r="D94" i="2"/>
  <c r="I94" i="2"/>
  <c r="D130" i="2"/>
  <c r="I130" i="2"/>
  <c r="D166" i="2"/>
  <c r="I166" i="2"/>
  <c r="D202" i="2"/>
  <c r="I202" i="2"/>
  <c r="D238" i="2"/>
  <c r="I238" i="2"/>
  <c r="D274" i="2"/>
  <c r="I274" i="2"/>
  <c r="D310" i="2"/>
  <c r="I310" i="2"/>
  <c r="D346" i="2"/>
  <c r="I346" i="2"/>
  <c r="D382" i="2"/>
  <c r="I382" i="2"/>
  <c r="D418" i="2"/>
  <c r="I418" i="2"/>
  <c r="D454" i="2"/>
  <c r="I454" i="2"/>
  <c r="D490" i="2"/>
  <c r="I490" i="2"/>
  <c r="D526" i="2"/>
  <c r="I526" i="2"/>
  <c r="D562" i="2"/>
  <c r="I562" i="2"/>
  <c r="D598" i="2"/>
  <c r="I598" i="2"/>
  <c r="D634" i="2"/>
  <c r="I634" i="2"/>
  <c r="D670" i="2"/>
  <c r="I670" i="2"/>
  <c r="D706" i="2"/>
  <c r="I706" i="2"/>
  <c r="D742" i="2"/>
  <c r="I742" i="2"/>
  <c r="D778" i="2"/>
  <c r="I778" i="2"/>
  <c r="I22" i="2"/>
  <c r="D22" i="2"/>
  <c r="D55" i="2"/>
  <c r="I55" i="2"/>
  <c r="D91" i="2"/>
  <c r="I91" i="2"/>
  <c r="D127" i="2"/>
  <c r="I127" i="2"/>
  <c r="D163" i="2"/>
  <c r="I163" i="2"/>
  <c r="D199" i="2"/>
  <c r="I199" i="2"/>
  <c r="D235" i="2"/>
  <c r="I235" i="2"/>
  <c r="D271" i="2"/>
  <c r="I271" i="2"/>
  <c r="D307" i="2"/>
  <c r="I307" i="2"/>
  <c r="D343" i="2"/>
  <c r="I343" i="2"/>
  <c r="D379" i="2"/>
  <c r="I379" i="2"/>
  <c r="D415" i="2"/>
  <c r="I415" i="2"/>
  <c r="D451" i="2"/>
  <c r="I451" i="2"/>
  <c r="D487" i="2"/>
  <c r="I487" i="2"/>
  <c r="D523" i="2"/>
  <c r="I523" i="2"/>
  <c r="D559" i="2"/>
  <c r="I559" i="2"/>
  <c r="D595" i="2"/>
  <c r="I595" i="2"/>
  <c r="D631" i="2"/>
  <c r="I631" i="2"/>
  <c r="D667" i="2"/>
  <c r="I667" i="2"/>
  <c r="D703" i="2"/>
  <c r="I703" i="2"/>
  <c r="D739" i="2"/>
  <c r="I739" i="2"/>
  <c r="D775" i="2"/>
  <c r="I775" i="2"/>
  <c r="I19" i="2"/>
  <c r="D19" i="2"/>
  <c r="I21" i="2"/>
  <c r="D57" i="2"/>
  <c r="I57" i="2"/>
  <c r="D93" i="2"/>
  <c r="I93" i="2"/>
  <c r="D129" i="2"/>
  <c r="I129" i="2"/>
  <c r="D165" i="2"/>
  <c r="I165" i="2"/>
  <c r="D201" i="2"/>
  <c r="I201" i="2"/>
  <c r="D237" i="2"/>
  <c r="I237" i="2"/>
  <c r="D273" i="2"/>
  <c r="I273" i="2"/>
  <c r="D309" i="2"/>
  <c r="D345" i="2"/>
  <c r="I345" i="2"/>
  <c r="D381" i="2"/>
  <c r="I381" i="2"/>
  <c r="D417" i="2"/>
  <c r="I417" i="2"/>
  <c r="D453" i="2"/>
  <c r="I453" i="2"/>
  <c r="D489" i="2"/>
  <c r="I489" i="2"/>
  <c r="D525" i="2"/>
  <c r="I525" i="2"/>
  <c r="D561" i="2"/>
  <c r="I561" i="2"/>
  <c r="D597" i="2"/>
  <c r="I597" i="2"/>
  <c r="D633" i="2"/>
  <c r="I633" i="2"/>
  <c r="D669" i="2"/>
  <c r="I669" i="2"/>
  <c r="D705" i="2"/>
  <c r="I705" i="2"/>
  <c r="D741" i="2"/>
  <c r="I741" i="2"/>
  <c r="D777" i="2"/>
  <c r="I777" i="2"/>
  <c r="D21" i="2"/>
  <c r="I20" i="2"/>
  <c r="D56" i="2"/>
  <c r="I56" i="2"/>
  <c r="D92" i="2"/>
  <c r="I92" i="2"/>
  <c r="D128" i="2"/>
  <c r="I128" i="2"/>
  <c r="D164" i="2"/>
  <c r="I164" i="2"/>
  <c r="D200" i="2"/>
  <c r="I200" i="2"/>
  <c r="D236" i="2"/>
  <c r="I236" i="2"/>
  <c r="D272" i="2"/>
  <c r="I272" i="2"/>
  <c r="D308" i="2"/>
  <c r="I308" i="2"/>
  <c r="D344" i="2"/>
  <c r="I344" i="2"/>
  <c r="D380" i="2"/>
  <c r="I380" i="2"/>
  <c r="D416" i="2"/>
  <c r="I416" i="2"/>
  <c r="D452" i="2"/>
  <c r="I452" i="2"/>
  <c r="D488" i="2"/>
  <c r="I488" i="2"/>
  <c r="D524" i="2"/>
  <c r="I524" i="2"/>
  <c r="D560" i="2"/>
  <c r="I560" i="2"/>
  <c r="D596" i="2"/>
  <c r="I596" i="2"/>
  <c r="D632" i="2"/>
  <c r="I632" i="2"/>
  <c r="D668" i="2"/>
  <c r="I668" i="2"/>
  <c r="D704" i="2"/>
  <c r="I704" i="2"/>
  <c r="D740" i="2"/>
  <c r="I740" i="2"/>
  <c r="D776" i="2"/>
  <c r="I776" i="2"/>
  <c r="D20" i="2"/>
  <c r="P5" i="1"/>
  <c r="C24" i="2"/>
  <c r="C23" i="2"/>
  <c r="C59" i="2" s="1"/>
  <c r="C22" i="2"/>
  <c r="C21" i="2"/>
  <c r="C20" i="2"/>
  <c r="C19" i="2"/>
  <c r="I567" i="2" l="1"/>
  <c r="I495" i="2"/>
  <c r="I423" i="2"/>
  <c r="I351" i="2"/>
  <c r="D567" i="2"/>
  <c r="D495" i="2"/>
  <c r="D423" i="2"/>
  <c r="D351" i="2"/>
  <c r="D459" i="2"/>
  <c r="D387" i="2"/>
  <c r="I531" i="2"/>
  <c r="I459" i="2"/>
  <c r="I387" i="2"/>
  <c r="D531" i="2"/>
  <c r="I603" i="2"/>
  <c r="D603" i="2"/>
  <c r="I315" i="2"/>
  <c r="I243" i="2"/>
  <c r="I171" i="2"/>
  <c r="I63" i="2"/>
  <c r="I135" i="2"/>
  <c r="D279" i="2"/>
  <c r="I99" i="2"/>
  <c r="D315" i="2"/>
  <c r="D243" i="2"/>
  <c r="D171" i="2"/>
  <c r="I27" i="2"/>
  <c r="I207" i="2"/>
  <c r="I639" i="2"/>
  <c r="D207" i="2"/>
  <c r="D639" i="2"/>
  <c r="I279" i="2"/>
  <c r="D135" i="2"/>
  <c r="D63" i="2"/>
  <c r="D27" i="2"/>
  <c r="D99" i="2"/>
  <c r="D709" i="2"/>
  <c r="D637" i="2"/>
  <c r="D781" i="2"/>
  <c r="D493" i="2"/>
  <c r="D349" i="2"/>
  <c r="D205" i="2"/>
  <c r="D133" i="2"/>
  <c r="D421" i="2"/>
  <c r="D277" i="2"/>
  <c r="D61" i="2"/>
  <c r="I601" i="2"/>
  <c r="I457" i="2"/>
  <c r="I385" i="2"/>
  <c r="I241" i="2"/>
  <c r="I169" i="2"/>
  <c r="I97" i="2"/>
  <c r="D745" i="2"/>
  <c r="D673" i="2"/>
  <c r="D457" i="2"/>
  <c r="D241" i="2"/>
  <c r="D169" i="2"/>
  <c r="D97" i="2"/>
  <c r="I493" i="2"/>
  <c r="I421" i="2"/>
  <c r="I349" i="2"/>
  <c r="I277" i="2"/>
  <c r="I205" i="2"/>
  <c r="I133" i="2"/>
  <c r="I61" i="2"/>
  <c r="I745" i="2"/>
  <c r="I673" i="2"/>
  <c r="I781" i="2"/>
  <c r="I709" i="2"/>
  <c r="I637" i="2"/>
  <c r="I529" i="2"/>
  <c r="D601" i="2"/>
  <c r="D529" i="2"/>
  <c r="D385" i="2"/>
  <c r="D313" i="2"/>
  <c r="I565" i="2"/>
  <c r="D565" i="2"/>
  <c r="H22" i="2"/>
  <c r="C58" i="2"/>
  <c r="H24" i="2"/>
  <c r="C60" i="2"/>
  <c r="H21" i="2"/>
  <c r="C57" i="2"/>
  <c r="H59" i="2"/>
  <c r="C95" i="2"/>
  <c r="H23" i="2"/>
  <c r="H20" i="2"/>
  <c r="C56" i="2"/>
  <c r="H19" i="2"/>
  <c r="C55" i="2"/>
  <c r="J8" i="2"/>
  <c r="E44" i="2"/>
  <c r="J6" i="2"/>
  <c r="E42" i="2"/>
  <c r="J11" i="2"/>
  <c r="E47" i="2"/>
  <c r="I25" i="2"/>
  <c r="D25" i="2"/>
  <c r="Q14" i="1"/>
  <c r="Q31" i="1"/>
  <c r="Q10" i="1"/>
  <c r="Q12" i="1"/>
  <c r="Q16" i="1"/>
  <c r="Q24" i="1"/>
  <c r="Q28" i="1"/>
  <c r="Q30" i="1"/>
  <c r="Q33" i="1"/>
  <c r="Q37" i="1"/>
  <c r="Q39" i="1"/>
  <c r="Q32" i="1"/>
  <c r="Q23" i="1"/>
  <c r="Q8" i="1"/>
  <c r="Q34" i="1"/>
  <c r="Q36" i="1"/>
  <c r="Q9" i="1"/>
  <c r="Q27" i="1"/>
  <c r="Q11" i="1"/>
  <c r="Q20" i="1"/>
  <c r="Q38" i="1"/>
  <c r="Q29" i="1"/>
  <c r="Q17" i="1"/>
  <c r="Q21" i="1"/>
  <c r="Q19" i="1"/>
  <c r="Q15" i="1"/>
  <c r="Q18" i="1"/>
  <c r="Q22" i="1"/>
  <c r="C25" i="2"/>
  <c r="C26" i="2" l="1"/>
  <c r="H25" i="2"/>
  <c r="H26" i="2" s="1"/>
  <c r="H95" i="2"/>
  <c r="C131" i="2"/>
  <c r="C93" i="2"/>
  <c r="H57" i="2"/>
  <c r="H60" i="2"/>
  <c r="C96" i="2"/>
  <c r="H58" i="2"/>
  <c r="C94" i="2"/>
  <c r="C92" i="2"/>
  <c r="H56" i="2"/>
  <c r="C91" i="2"/>
  <c r="H55" i="2"/>
  <c r="C61" i="2"/>
  <c r="C62" i="2" s="1"/>
  <c r="J44" i="2"/>
  <c r="E80" i="2"/>
  <c r="E78" i="2"/>
  <c r="J42" i="2"/>
  <c r="J47" i="2"/>
  <c r="E83" i="2"/>
  <c r="H93" i="2" l="1"/>
  <c r="C129" i="2"/>
  <c r="H94" i="2"/>
  <c r="C130" i="2"/>
  <c r="H96" i="2"/>
  <c r="C132" i="2"/>
  <c r="C167" i="2"/>
  <c r="H131" i="2"/>
  <c r="H92" i="2"/>
  <c r="C128" i="2"/>
  <c r="H61" i="2"/>
  <c r="H62" i="2" s="1"/>
  <c r="C97" i="2"/>
  <c r="C98" i="2" s="1"/>
  <c r="C127" i="2"/>
  <c r="H91" i="2"/>
  <c r="E116" i="2"/>
  <c r="J80" i="2"/>
  <c r="J78" i="2"/>
  <c r="E114" i="2"/>
  <c r="J83" i="2"/>
  <c r="E119" i="2"/>
  <c r="C203" i="2" l="1"/>
  <c r="H167" i="2"/>
  <c r="H132" i="2"/>
  <c r="C168" i="2"/>
  <c r="H130" i="2"/>
  <c r="C166" i="2"/>
  <c r="C165" i="2"/>
  <c r="H129" i="2"/>
  <c r="H97" i="2"/>
  <c r="H98" i="2" s="1"/>
  <c r="H128" i="2"/>
  <c r="C164" i="2"/>
  <c r="H127" i="2"/>
  <c r="C163" i="2"/>
  <c r="C133" i="2"/>
  <c r="C134" i="2" s="1"/>
  <c r="J116" i="2"/>
  <c r="E152" i="2"/>
  <c r="J114" i="2"/>
  <c r="E150" i="2"/>
  <c r="J119" i="2"/>
  <c r="E155" i="2"/>
  <c r="C201" i="2" l="1"/>
  <c r="H165" i="2"/>
  <c r="C239" i="2"/>
  <c r="H203" i="2"/>
  <c r="H166" i="2"/>
  <c r="C202" i="2"/>
  <c r="C204" i="2"/>
  <c r="H168" i="2"/>
  <c r="H133" i="2"/>
  <c r="H134" i="2" s="1"/>
  <c r="H164" i="2"/>
  <c r="C200" i="2"/>
  <c r="H163" i="2"/>
  <c r="H169" i="2" s="1"/>
  <c r="H170" i="2" s="1"/>
  <c r="C169" i="2"/>
  <c r="C170" i="2" s="1"/>
  <c r="C199" i="2"/>
  <c r="E188" i="2"/>
  <c r="J152" i="2"/>
  <c r="E186" i="2"/>
  <c r="J150" i="2"/>
  <c r="E191" i="2"/>
  <c r="J155" i="2"/>
  <c r="H204" i="2" l="1"/>
  <c r="C240" i="2"/>
  <c r="H239" i="2"/>
  <c r="C275" i="2"/>
  <c r="C237" i="2"/>
  <c r="H201" i="2"/>
  <c r="H202" i="2"/>
  <c r="C238" i="2"/>
  <c r="C236" i="2"/>
  <c r="H200" i="2"/>
  <c r="C235" i="2"/>
  <c r="C205" i="2"/>
  <c r="C206" i="2" s="1"/>
  <c r="H199" i="2"/>
  <c r="E224" i="2"/>
  <c r="J188" i="2"/>
  <c r="E222" i="2"/>
  <c r="J186" i="2"/>
  <c r="E227" i="2"/>
  <c r="J191" i="2"/>
  <c r="H237" i="2" l="1"/>
  <c r="C273" i="2"/>
  <c r="H238" i="2"/>
  <c r="C274" i="2"/>
  <c r="C311" i="2"/>
  <c r="H275" i="2"/>
  <c r="H240" i="2"/>
  <c r="C276" i="2"/>
  <c r="H236" i="2"/>
  <c r="C272" i="2"/>
  <c r="H205" i="2"/>
  <c r="H206" i="2" s="1"/>
  <c r="C271" i="2"/>
  <c r="H235" i="2"/>
  <c r="C241" i="2"/>
  <c r="C242" i="2" s="1"/>
  <c r="J224" i="2"/>
  <c r="E260" i="2"/>
  <c r="J222" i="2"/>
  <c r="E258" i="2"/>
  <c r="J227" i="2"/>
  <c r="E263" i="2"/>
  <c r="H241" i="2" l="1"/>
  <c r="H242" i="2" s="1"/>
  <c r="C347" i="2"/>
  <c r="H311" i="2"/>
  <c r="C312" i="2"/>
  <c r="H276" i="2"/>
  <c r="C310" i="2"/>
  <c r="H274" i="2"/>
  <c r="H273" i="2"/>
  <c r="C309" i="2"/>
  <c r="C308" i="2"/>
  <c r="H272" i="2"/>
  <c r="C277" i="2"/>
  <c r="C278" i="2" s="1"/>
  <c r="C307" i="2"/>
  <c r="H271" i="2"/>
  <c r="J260" i="2"/>
  <c r="E296" i="2"/>
  <c r="J258" i="2"/>
  <c r="E294" i="2"/>
  <c r="J263" i="2"/>
  <c r="E299" i="2"/>
  <c r="H310" i="2" l="1"/>
  <c r="C346" i="2"/>
  <c r="H312" i="2"/>
  <c r="C348" i="2"/>
  <c r="C383" i="2"/>
  <c r="H347" i="2"/>
  <c r="H309" i="2"/>
  <c r="C345" i="2"/>
  <c r="H308" i="2"/>
  <c r="C344" i="2"/>
  <c r="H277" i="2"/>
  <c r="H278" i="2" s="1"/>
  <c r="C343" i="2"/>
  <c r="H307" i="2"/>
  <c r="C313" i="2"/>
  <c r="C314" i="2" s="1"/>
  <c r="J296" i="2"/>
  <c r="E332" i="2"/>
  <c r="J294" i="2"/>
  <c r="E330" i="2"/>
  <c r="E335" i="2"/>
  <c r="J299" i="2"/>
  <c r="H313" i="2" l="1"/>
  <c r="C419" i="2"/>
  <c r="H383" i="2"/>
  <c r="C381" i="2"/>
  <c r="H345" i="2"/>
  <c r="C384" i="2"/>
  <c r="H348" i="2"/>
  <c r="C382" i="2"/>
  <c r="H346" i="2"/>
  <c r="H344" i="2"/>
  <c r="C380" i="2"/>
  <c r="C379" i="2"/>
  <c r="C349" i="2"/>
  <c r="C350" i="2" s="1"/>
  <c r="H343" i="2"/>
  <c r="E368" i="2"/>
  <c r="J332" i="2"/>
  <c r="J330" i="2"/>
  <c r="E366" i="2"/>
  <c r="E371" i="2"/>
  <c r="J335" i="2"/>
  <c r="H349" i="2" l="1"/>
  <c r="H350" i="2" s="1"/>
  <c r="C418" i="2"/>
  <c r="H382" i="2"/>
  <c r="C420" i="2"/>
  <c r="H384" i="2"/>
  <c r="C417" i="2"/>
  <c r="H381" i="2"/>
  <c r="C455" i="2"/>
  <c r="H419" i="2"/>
  <c r="C416" i="2"/>
  <c r="H380" i="2"/>
  <c r="C415" i="2"/>
  <c r="C385" i="2"/>
  <c r="C386" i="2" s="1"/>
  <c r="H379" i="2"/>
  <c r="E404" i="2"/>
  <c r="J368" i="2"/>
  <c r="E402" i="2"/>
  <c r="J366" i="2"/>
  <c r="E407" i="2"/>
  <c r="J371" i="2"/>
  <c r="H385" i="2" l="1"/>
  <c r="H386" i="2" s="1"/>
  <c r="C491" i="2"/>
  <c r="H455" i="2"/>
  <c r="C453" i="2"/>
  <c r="H417" i="2"/>
  <c r="C456" i="2"/>
  <c r="H420" i="2"/>
  <c r="C454" i="2"/>
  <c r="H418" i="2"/>
  <c r="H416" i="2"/>
  <c r="C452" i="2"/>
  <c r="C451" i="2"/>
  <c r="H415" i="2"/>
  <c r="C421" i="2"/>
  <c r="C422" i="2" s="1"/>
  <c r="E440" i="2"/>
  <c r="J404" i="2"/>
  <c r="E438" i="2"/>
  <c r="J402" i="2"/>
  <c r="E443" i="2"/>
  <c r="J407" i="2"/>
  <c r="C490" i="2" l="1"/>
  <c r="H454" i="2"/>
  <c r="C492" i="2"/>
  <c r="H456" i="2"/>
  <c r="C489" i="2"/>
  <c r="H453" i="2"/>
  <c r="C527" i="2"/>
  <c r="H491" i="2"/>
  <c r="H421" i="2"/>
  <c r="H422" i="2" s="1"/>
  <c r="C488" i="2"/>
  <c r="H452" i="2"/>
  <c r="C487" i="2"/>
  <c r="C457" i="2"/>
  <c r="C458" i="2" s="1"/>
  <c r="H451" i="2"/>
  <c r="J440" i="2"/>
  <c r="E476" i="2"/>
  <c r="E474" i="2"/>
  <c r="J438" i="2"/>
  <c r="E479" i="2"/>
  <c r="J443" i="2"/>
  <c r="C563" i="2" l="1"/>
  <c r="H527" i="2"/>
  <c r="H489" i="2"/>
  <c r="C525" i="2"/>
  <c r="C528" i="2"/>
  <c r="H492" i="2"/>
  <c r="C526" i="2"/>
  <c r="H490" i="2"/>
  <c r="H457" i="2"/>
  <c r="H458" i="2" s="1"/>
  <c r="H488" i="2"/>
  <c r="C524" i="2"/>
  <c r="C493" i="2"/>
  <c r="C494" i="2" s="1"/>
  <c r="H487" i="2"/>
  <c r="C523" i="2"/>
  <c r="J476" i="2"/>
  <c r="E512" i="2"/>
  <c r="J474" i="2"/>
  <c r="E510" i="2"/>
  <c r="E515" i="2"/>
  <c r="J479" i="2"/>
  <c r="C562" i="2" l="1"/>
  <c r="H526" i="2"/>
  <c r="C564" i="2"/>
  <c r="H528" i="2"/>
  <c r="H563" i="2"/>
  <c r="C599" i="2"/>
  <c r="C561" i="2"/>
  <c r="H525" i="2"/>
  <c r="H493" i="2"/>
  <c r="H494" i="2" s="1"/>
  <c r="H524" i="2"/>
  <c r="C560" i="2"/>
  <c r="C559" i="2"/>
  <c r="C529" i="2"/>
  <c r="C530" i="2" s="1"/>
  <c r="H523" i="2"/>
  <c r="E548" i="2"/>
  <c r="J512" i="2"/>
  <c r="J510" i="2"/>
  <c r="E546" i="2"/>
  <c r="E551" i="2"/>
  <c r="J515" i="2"/>
  <c r="H529" i="2" l="1"/>
  <c r="H530" i="2" s="1"/>
  <c r="H561" i="2"/>
  <c r="C597" i="2"/>
  <c r="C600" i="2"/>
  <c r="H564" i="2"/>
  <c r="C598" i="2"/>
  <c r="H562" i="2"/>
  <c r="H599" i="2"/>
  <c r="C635" i="2"/>
  <c r="C596" i="2"/>
  <c r="H560" i="2"/>
  <c r="C595" i="2"/>
  <c r="C565" i="2"/>
  <c r="C566" i="2" s="1"/>
  <c r="H559" i="2"/>
  <c r="E584" i="2"/>
  <c r="J548" i="2"/>
  <c r="J546" i="2"/>
  <c r="E582" i="2"/>
  <c r="E587" i="2"/>
  <c r="J551" i="2"/>
  <c r="H598" i="2" l="1"/>
  <c r="C634" i="2"/>
  <c r="H600" i="2"/>
  <c r="C636" i="2"/>
  <c r="H635" i="2"/>
  <c r="C671" i="2"/>
  <c r="H597" i="2"/>
  <c r="C633" i="2"/>
  <c r="C632" i="2"/>
  <c r="H596" i="2"/>
  <c r="H565" i="2"/>
  <c r="H566" i="2" s="1"/>
  <c r="C631" i="2"/>
  <c r="C601" i="2"/>
  <c r="C602" i="2" s="1"/>
  <c r="H595" i="2"/>
  <c r="J584" i="2"/>
  <c r="E620" i="2"/>
  <c r="E618" i="2"/>
  <c r="J582" i="2"/>
  <c r="J587" i="2"/>
  <c r="E623" i="2"/>
  <c r="H633" i="2" l="1"/>
  <c r="C669" i="2"/>
  <c r="H671" i="2"/>
  <c r="C707" i="2"/>
  <c r="H636" i="2"/>
  <c r="C672" i="2"/>
  <c r="H634" i="2"/>
  <c r="C670" i="2"/>
  <c r="H601" i="2"/>
  <c r="H602" i="2" s="1"/>
  <c r="H632" i="2"/>
  <c r="C668" i="2"/>
  <c r="C667" i="2"/>
  <c r="C637" i="2"/>
  <c r="C638" i="2" s="1"/>
  <c r="H631" i="2"/>
  <c r="J620" i="2"/>
  <c r="E656" i="2"/>
  <c r="J618" i="2"/>
  <c r="E654" i="2"/>
  <c r="H680" i="2"/>
  <c r="J623" i="2"/>
  <c r="E659" i="2"/>
  <c r="H670" i="2" l="1"/>
  <c r="C706" i="2"/>
  <c r="H672" i="2"/>
  <c r="C708" i="2"/>
  <c r="H707" i="2"/>
  <c r="C743" i="2"/>
  <c r="H669" i="2"/>
  <c r="C705" i="2"/>
  <c r="H637" i="2"/>
  <c r="H638" i="2" s="1"/>
  <c r="H668" i="2"/>
  <c r="C704" i="2"/>
  <c r="H667" i="2"/>
  <c r="C703" i="2"/>
  <c r="C673" i="2"/>
  <c r="C674" i="2" s="1"/>
  <c r="E692" i="2"/>
  <c r="J656" i="2"/>
  <c r="J654" i="2"/>
  <c r="E690" i="2"/>
  <c r="H716" i="2"/>
  <c r="J659" i="2"/>
  <c r="E695" i="2"/>
  <c r="H673" i="2" l="1"/>
  <c r="H674" i="2" s="1"/>
  <c r="H705" i="2"/>
  <c r="C741" i="2"/>
  <c r="H743" i="2"/>
  <c r="C779" i="2"/>
  <c r="H779" i="2" s="1"/>
  <c r="H708" i="2"/>
  <c r="C744" i="2"/>
  <c r="H706" i="2"/>
  <c r="C742" i="2"/>
  <c r="H704" i="2"/>
  <c r="C740" i="2"/>
  <c r="H703" i="2"/>
  <c r="C739" i="2"/>
  <c r="C709" i="2"/>
  <c r="C710" i="2" s="1"/>
  <c r="J692" i="2"/>
  <c r="E728" i="2"/>
  <c r="J690" i="2"/>
  <c r="E726" i="2"/>
  <c r="H752" i="2"/>
  <c r="C788" i="2"/>
  <c r="J695" i="2"/>
  <c r="E731" i="2"/>
  <c r="E767" i="2" s="1"/>
  <c r="H709" i="2" l="1"/>
  <c r="H710" i="2" s="1"/>
  <c r="H742" i="2"/>
  <c r="C778" i="2"/>
  <c r="H778" i="2" s="1"/>
  <c r="H744" i="2"/>
  <c r="C780" i="2"/>
  <c r="H780" i="2" s="1"/>
  <c r="H741" i="2"/>
  <c r="C777" i="2"/>
  <c r="H777" i="2" s="1"/>
  <c r="H740" i="2"/>
  <c r="C776" i="2"/>
  <c r="H776" i="2" s="1"/>
  <c r="C745" i="2"/>
  <c r="C746" i="2" s="1"/>
  <c r="C775" i="2"/>
  <c r="H739" i="2"/>
  <c r="J728" i="2"/>
  <c r="E764" i="2"/>
  <c r="J764" i="2" s="1"/>
  <c r="J726" i="2"/>
  <c r="E762" i="2"/>
  <c r="J762" i="2" s="1"/>
  <c r="H788" i="2"/>
  <c r="J731" i="2"/>
  <c r="J767" i="2"/>
  <c r="H745" i="2" l="1"/>
  <c r="H746" i="2" s="1"/>
  <c r="C781" i="2"/>
  <c r="C782" i="2" s="1"/>
  <c r="H775" i="2"/>
  <c r="H781" i="2" s="1"/>
  <c r="H782" i="2" s="1"/>
  <c r="R9" i="1" l="1"/>
  <c r="P9" i="1" s="1"/>
  <c r="C45" i="3" s="1"/>
  <c r="R8" i="1"/>
  <c r="P8" i="1" l="1"/>
  <c r="C29" i="3" s="1"/>
  <c r="R10" i="1"/>
  <c r="P10" i="1" l="1"/>
  <c r="C4" i="3" s="1"/>
  <c r="R11" i="1"/>
  <c r="P11" i="1" l="1"/>
  <c r="C41" i="3" s="1"/>
  <c r="R12" i="1"/>
  <c r="P12" i="1" l="1"/>
  <c r="C8" i="3" s="1"/>
  <c r="R13" i="1"/>
  <c r="R14" i="1" l="1"/>
  <c r="P13" i="1"/>
  <c r="C32" i="3" s="1"/>
  <c r="R15" i="1" l="1"/>
  <c r="P14" i="1"/>
  <c r="C3" i="3" s="1"/>
  <c r="P15" i="1" l="1"/>
  <c r="C46" i="3" s="1"/>
  <c r="R16" i="1"/>
  <c r="P16" i="1" l="1"/>
  <c r="C48" i="3" s="1"/>
  <c r="R17" i="1"/>
  <c r="P17" i="1" l="1"/>
  <c r="C5" i="3" s="1"/>
  <c r="R18" i="1"/>
  <c r="P18" i="1" l="1"/>
  <c r="C25" i="3" s="1"/>
  <c r="R19" i="1"/>
  <c r="P19" i="1" l="1"/>
  <c r="C27" i="3" s="1"/>
  <c r="R20" i="1"/>
  <c r="P20" i="1" l="1"/>
  <c r="C26" i="3" s="1"/>
  <c r="R21" i="1"/>
  <c r="P21" i="1" l="1"/>
  <c r="C43" i="3" s="1"/>
  <c r="R22" i="1"/>
  <c r="P22" i="1" l="1"/>
  <c r="C42" i="3" s="1"/>
  <c r="R23" i="1"/>
  <c r="P23" i="1" l="1"/>
  <c r="C37" i="3" s="1"/>
  <c r="R24" i="1"/>
  <c r="P24" i="1" l="1"/>
  <c r="C21" i="3" s="1"/>
  <c r="R25" i="1"/>
  <c r="R26" i="1" s="1"/>
  <c r="P26" i="1" l="1"/>
  <c r="C33" i="3" s="1"/>
  <c r="R27" i="1"/>
  <c r="P27" i="1" l="1"/>
  <c r="C10" i="3" s="1"/>
  <c r="R28" i="1"/>
  <c r="P28" i="1" l="1"/>
  <c r="C40" i="3" s="1"/>
  <c r="R29" i="1"/>
  <c r="P29" i="1" l="1"/>
  <c r="C7" i="3" s="1"/>
  <c r="R30" i="1"/>
  <c r="P30" i="1" l="1"/>
  <c r="C22" i="3" s="1"/>
  <c r="R31" i="1"/>
  <c r="P31" i="1" l="1"/>
  <c r="C36" i="3" s="1"/>
  <c r="R32" i="1"/>
  <c r="P32" i="1" l="1"/>
  <c r="C28" i="3" s="1"/>
  <c r="R33" i="1"/>
  <c r="P33" i="1" l="1"/>
  <c r="C6" i="3" s="1"/>
  <c r="R34" i="1"/>
  <c r="P34" i="1" l="1"/>
  <c r="C30" i="3" s="1"/>
  <c r="R35" i="1"/>
  <c r="P35" i="1" l="1"/>
  <c r="C20" i="3" s="1"/>
  <c r="R36" i="1"/>
  <c r="P36" i="1" l="1"/>
  <c r="C13" i="3" s="1"/>
  <c r="R37" i="1"/>
  <c r="P37" i="1" l="1"/>
  <c r="C38" i="3" s="1"/>
  <c r="R38" i="1"/>
  <c r="P38" i="1" l="1"/>
  <c r="C35" i="3" s="1"/>
  <c r="R39" i="1"/>
  <c r="P39" i="1" l="1"/>
  <c r="C19" i="3" s="1"/>
  <c r="R40" i="1"/>
  <c r="I309" i="2"/>
  <c r="I313" i="2" s="1"/>
  <c r="H314" i="2" s="1"/>
  <c r="Q25" i="1"/>
  <c r="S53" i="1" l="1"/>
  <c r="A34" i="3" s="1"/>
  <c r="S52" i="1"/>
  <c r="A16" i="3" s="1"/>
  <c r="P25" i="1"/>
  <c r="C11" i="3" s="1"/>
  <c r="S51" i="1"/>
  <c r="S50" i="1"/>
  <c r="P40" i="1"/>
  <c r="C14" i="3" s="1"/>
  <c r="R41" i="1"/>
  <c r="S49" i="1"/>
  <c r="A17" i="3" s="1"/>
  <c r="S48" i="1"/>
  <c r="A12" i="3" s="1"/>
  <c r="S46" i="1"/>
  <c r="A18" i="3" s="1"/>
  <c r="S47" i="1"/>
  <c r="A31" i="3" s="1"/>
  <c r="S45" i="1"/>
  <c r="A39" i="3" s="1"/>
  <c r="S44" i="1"/>
  <c r="A24" i="3" s="1"/>
  <c r="S25" i="1"/>
  <c r="A11" i="3" s="1"/>
  <c r="S38" i="1"/>
  <c r="A35" i="3" s="1"/>
  <c r="S29" i="1"/>
  <c r="A7" i="3" s="1"/>
  <c r="S35" i="1"/>
  <c r="A20" i="3" s="1"/>
  <c r="S42" i="1"/>
  <c r="A23" i="3" s="1"/>
  <c r="S19" i="1"/>
  <c r="A27" i="3" s="1"/>
  <c r="S32" i="1"/>
  <c r="A28" i="3" s="1"/>
  <c r="S36" i="1"/>
  <c r="A13" i="3" s="1"/>
  <c r="S39" i="1"/>
  <c r="A19" i="3" s="1"/>
  <c r="S22" i="1"/>
  <c r="A42" i="3" s="1"/>
  <c r="S27" i="1"/>
  <c r="A10" i="3" s="1"/>
  <c r="S43" i="1"/>
  <c r="A9" i="3" s="1"/>
  <c r="S37" i="1"/>
  <c r="A38" i="3" s="1"/>
  <c r="S33" i="1"/>
  <c r="A6" i="3" s="1"/>
  <c r="S30" i="1"/>
  <c r="A22" i="3" s="1"/>
  <c r="S18" i="1"/>
  <c r="A25" i="3" s="1"/>
  <c r="S28" i="1"/>
  <c r="A40" i="3" s="1"/>
  <c r="S20" i="1"/>
  <c r="A26" i="3" s="1"/>
  <c r="S13" i="1"/>
  <c r="A32" i="3" s="1"/>
  <c r="S40" i="1"/>
  <c r="A14" i="3" s="1"/>
  <c r="S24" i="1"/>
  <c r="A21" i="3" s="1"/>
  <c r="S16" i="1"/>
  <c r="A48" i="3" s="1"/>
  <c r="S23" i="1"/>
  <c r="A37" i="3" s="1"/>
  <c r="S17" i="1"/>
  <c r="A5" i="3" s="1"/>
  <c r="S15" i="1"/>
  <c r="A46" i="3" s="1"/>
  <c r="S26" i="1"/>
  <c r="A33" i="3" s="1"/>
  <c r="S41" i="1"/>
  <c r="A15" i="3" s="1"/>
  <c r="S31" i="1"/>
  <c r="A36" i="3" s="1"/>
  <c r="S14" i="1"/>
  <c r="A3" i="3" s="1"/>
  <c r="S21" i="1"/>
  <c r="A43" i="3" s="1"/>
  <c r="S34" i="1"/>
  <c r="A30" i="3" s="1"/>
  <c r="S8" i="1"/>
  <c r="A29" i="3" s="1"/>
  <c r="S11" i="1"/>
  <c r="A41" i="3" s="1"/>
  <c r="S9" i="1"/>
  <c r="A45" i="3" s="1"/>
  <c r="S10" i="1"/>
  <c r="A4" i="3" s="1"/>
  <c r="S12" i="1"/>
  <c r="A8" i="3" s="1"/>
  <c r="H826" i="2" l="1"/>
  <c r="A47" i="3"/>
  <c r="C826" i="2"/>
  <c r="A44" i="3"/>
  <c r="C711" i="2"/>
  <c r="C675" i="2"/>
  <c r="C747" i="2"/>
  <c r="C783" i="2"/>
  <c r="H675" i="2"/>
  <c r="H747" i="2"/>
  <c r="H783" i="2"/>
  <c r="H711" i="2"/>
  <c r="P41" i="1"/>
  <c r="C15" i="3" s="1"/>
  <c r="R42" i="1"/>
  <c r="H495" i="2"/>
  <c r="C459" i="2"/>
  <c r="H459" i="2"/>
  <c r="H639" i="2"/>
  <c r="H63" i="2"/>
  <c r="H135" i="2"/>
  <c r="H171" i="2"/>
  <c r="C207" i="2"/>
  <c r="H603" i="2"/>
  <c r="H99" i="2"/>
  <c r="C639" i="2"/>
  <c r="C603" i="2"/>
  <c r="H243" i="2"/>
  <c r="C171" i="2"/>
  <c r="C243" i="2"/>
  <c r="C279" i="2"/>
  <c r="H207" i="2"/>
  <c r="C27" i="2"/>
  <c r="H279" i="2"/>
  <c r="C387" i="2"/>
  <c r="H567" i="2"/>
  <c r="C315" i="2"/>
  <c r="H423" i="2"/>
  <c r="C351" i="2"/>
  <c r="C423" i="2"/>
  <c r="C495" i="2"/>
  <c r="H27" i="2"/>
  <c r="C135" i="2"/>
  <c r="H351" i="2"/>
  <c r="H531" i="2"/>
  <c r="C99" i="2"/>
  <c r="H315" i="2"/>
  <c r="C531" i="2"/>
  <c r="C63" i="2"/>
  <c r="C567" i="2"/>
  <c r="P42" i="1" l="1"/>
  <c r="C23" i="3" s="1"/>
  <c r="R43" i="1"/>
  <c r="P43" i="1" l="1"/>
  <c r="C9" i="3" s="1"/>
  <c r="R44" i="1"/>
  <c r="R45" i="1" l="1"/>
  <c r="P44" i="1"/>
  <c r="C24" i="3" s="1"/>
  <c r="R46" i="1" l="1"/>
  <c r="P45" i="1"/>
  <c r="C39" i="3" s="1"/>
  <c r="R47" i="1" l="1"/>
  <c r="P46" i="1"/>
  <c r="C18" i="3" s="1"/>
  <c r="R48" i="1" l="1"/>
  <c r="P47" i="1"/>
  <c r="C31" i="3" s="1"/>
  <c r="R49" i="1" l="1"/>
  <c r="P49" i="1" s="1"/>
  <c r="C17" i="3" s="1"/>
  <c r="P48" i="1"/>
  <c r="C12" i="3" s="1"/>
</calcChain>
</file>

<file path=xl/sharedStrings.xml><?xml version="1.0" encoding="utf-8"?>
<sst xmlns="http://schemas.openxmlformats.org/spreadsheetml/2006/main" count="1467" uniqueCount="100">
  <si>
    <t>Class</t>
  </si>
  <si>
    <t>Closing Dates:</t>
  </si>
  <si>
    <t>NO</t>
  </si>
  <si>
    <t>NAMES</t>
  </si>
  <si>
    <t>KINYARWANDA</t>
  </si>
  <si>
    <t>ENGLISH</t>
  </si>
  <si>
    <t>Total</t>
  </si>
  <si>
    <t>CAT</t>
  </si>
  <si>
    <t>TOT</t>
  </si>
  <si>
    <t>JERICHO SCHOOL</t>
  </si>
  <si>
    <t>TEL: 0788695562</t>
  </si>
  <si>
    <t>TOTAL</t>
  </si>
  <si>
    <t>NIVEAU:</t>
  </si>
  <si>
    <t>A/S</t>
  </si>
  <si>
    <t>NIVEAU</t>
  </si>
  <si>
    <t>MATHEMATIQUES</t>
  </si>
  <si>
    <t>ETUDES SOCIALE</t>
  </si>
  <si>
    <t>STE</t>
  </si>
  <si>
    <r>
      <t>FRAN</t>
    </r>
    <r>
      <rPr>
        <b/>
        <sz val="16"/>
        <color theme="1"/>
        <rFont val="Calibri"/>
        <family val="2"/>
      </rPr>
      <t>ç</t>
    </r>
    <r>
      <rPr>
        <b/>
        <sz val="12"/>
        <color theme="1"/>
        <rFont val="Calibri"/>
        <family val="2"/>
      </rPr>
      <t>AIS</t>
    </r>
  </si>
  <si>
    <t>MOYENNE</t>
  </si>
  <si>
    <t>BULLETIN</t>
  </si>
  <si>
    <t>PLACE</t>
  </si>
  <si>
    <t>REPUBLIQUE DU RWANDA</t>
  </si>
  <si>
    <t>MINISTERE DE L’EDUCATION</t>
  </si>
  <si>
    <t>VILLE DE KIGALI</t>
  </si>
  <si>
    <t>DISTRICT DE NYARUGENGE</t>
  </si>
  <si>
    <t>SECTEUR NYAMIRAMBO</t>
  </si>
  <si>
    <t>EMAIL: jericho.school@yahoo.fr</t>
  </si>
  <si>
    <t>CLASSE</t>
  </si>
  <si>
    <t>A/S:</t>
  </si>
  <si>
    <t>ETUDES SOCIALES</t>
  </si>
  <si>
    <r>
      <t>FRAN</t>
    </r>
    <r>
      <rPr>
        <b/>
        <sz val="14"/>
        <color theme="1"/>
        <rFont val="Calibri"/>
        <family val="2"/>
      </rPr>
      <t>ç</t>
    </r>
    <r>
      <rPr>
        <b/>
        <sz val="12"/>
        <color theme="1"/>
        <rFont val="Calibri"/>
        <family val="2"/>
      </rPr>
      <t>AIS</t>
    </r>
  </si>
  <si>
    <t>POURCENTAGE</t>
  </si>
  <si>
    <t>SIGNATURE DES 
PARENTS</t>
  </si>
  <si>
    <t>SIGNATURE DU
TITULAIRE</t>
  </si>
  <si>
    <t xml:space="preserve"> FAIT A JERICHO SCHOOL</t>
  </si>
  <si>
    <t>DATE :</t>
  </si>
  <si>
    <t>MI -TRIMESTRE</t>
  </si>
  <si>
    <t>POINTS</t>
  </si>
  <si>
    <t>MAX</t>
  </si>
  <si>
    <t xml:space="preserve">NOMS: </t>
  </si>
  <si>
    <t>CLASSE:</t>
  </si>
  <si>
    <t>BULLETIN SCOLAIRE</t>
  </si>
  <si>
    <t>COURS</t>
  </si>
  <si>
    <t>NOMS</t>
  </si>
  <si>
    <t>DATE</t>
  </si>
  <si>
    <r>
      <t>FRAN</t>
    </r>
    <r>
      <rPr>
        <b/>
        <sz val="11"/>
        <color theme="1"/>
        <rFont val="Calibri"/>
        <family val="2"/>
      </rPr>
      <t>çAIS</t>
    </r>
  </si>
  <si>
    <t xml:space="preserve"> INFERIEUR</t>
  </si>
  <si>
    <t xml:space="preserve">                                                         </t>
  </si>
  <si>
    <t>2025/2026</t>
  </si>
  <si>
    <t>FRANçAIS</t>
  </si>
  <si>
    <t>P1-B</t>
  </si>
  <si>
    <t xml:space="preserve">NOM: </t>
  </si>
  <si>
    <t>NOM:</t>
  </si>
  <si>
    <t>P1B</t>
  </si>
  <si>
    <t>AGATESI     Benita</t>
  </si>
  <si>
    <t>Akeza    Lena</t>
  </si>
  <si>
    <t>GAJU  Anny</t>
  </si>
  <si>
    <t>GISUBIZO  Herve</t>
  </si>
  <si>
    <t>HIRWA  Ayman</t>
  </si>
  <si>
    <t>HIRWA Elio  Rayan</t>
  </si>
  <si>
    <t>ICYOMORO AGANZE Grayson</t>
  </si>
  <si>
    <t>IHIRWE  Lena</t>
  </si>
  <si>
    <t>INEZA  Gaella</t>
  </si>
  <si>
    <t>INEZA CYIZERE Daicy</t>
  </si>
  <si>
    <t>IRADUKUNDA INEZA Pamella</t>
  </si>
  <si>
    <t>IRAKOZE  Yasipi</t>
  </si>
  <si>
    <t>IRAYASOHOZA SHAMI   Baraka</t>
  </si>
  <si>
    <t>IREBE GIKUNDIRO Ella</t>
  </si>
  <si>
    <t>ISHAMI Honnette</t>
  </si>
  <si>
    <t>ISIMBI   Tiffah</t>
  </si>
  <si>
    <t>KABANZA IRIHO   Arda</t>
  </si>
  <si>
    <t>KAGABA   Kevrin</t>
  </si>
  <si>
    <t>KALISA IRIHO Jeyden</t>
  </si>
  <si>
    <t>KEZAKASE  Meghan</t>
  </si>
  <si>
    <t>KWIHANGANA   Honestly</t>
  </si>
  <si>
    <t>KWIZERA SHYAKA  Thibaut</t>
  </si>
  <si>
    <t>MANZI Aime  Bonheur</t>
  </si>
  <si>
    <t>MUGISHA Alpha</t>
  </si>
  <si>
    <t>MUHIRWA Junior</t>
  </si>
  <si>
    <t>MURAME  Saint Liam</t>
  </si>
  <si>
    <t>MURENZI  Calvin</t>
  </si>
  <si>
    <t>MURENZI  Galvin</t>
  </si>
  <si>
    <t>NGABOYIMANZI Loic</t>
  </si>
  <si>
    <t>NIYIBIKORA Jehovanie</t>
  </si>
  <si>
    <t>NTIRIKINA Yvan Luc</t>
  </si>
  <si>
    <t>NTWARI Charmant</t>
  </si>
  <si>
    <t>NTWARI Lucky Blaise</t>
  </si>
  <si>
    <t>NUTETE UTUJE Israa</t>
  </si>
  <si>
    <t>NUWAYO ISHEJA Bella</t>
  </si>
  <si>
    <t>SHAMI Blaise</t>
  </si>
  <si>
    <t>Shema Christe Estella</t>
  </si>
  <si>
    <t>SIBO JABO Besnik</t>
  </si>
  <si>
    <t>TETERO NIMWIZA Iris</t>
  </si>
  <si>
    <t>UMULISA Promesse</t>
  </si>
  <si>
    <t>UMURERWA Believe</t>
  </si>
  <si>
    <t>UMWIZA IKIREZI Daisy</t>
  </si>
  <si>
    <t>UWASE BERWA Doriane</t>
  </si>
  <si>
    <t>UWASE GISA Grace</t>
  </si>
  <si>
    <t>P1-A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</si>
</sst>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-* #,##0.00_-;\-* #,##0.00_-;_-* &quot;-&quot;??_-;_-@_-"/>
    <numFmt numFmtId="165" formatCode="_(* #,##0_);_(* \(#,##0\);_(* &quot;-&quot;??_);_(@_)"/>
    <numFmt numFmtId="166" formatCode="_(* #,##0.0_);_(* \(#,##0.0\);_(* &quot;-&quot;??_);_(@_)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Tw Cen MT"/>
      <family val="2"/>
    </font>
    <font>
      <b/>
      <sz val="12"/>
      <color theme="1"/>
      <name val="Tw Cen MT"/>
      <family val="2"/>
    </font>
    <font>
      <b/>
      <sz val="14"/>
      <color theme="1"/>
      <name val="Tw Cen MT"/>
      <family val="2"/>
    </font>
    <font>
      <b/>
      <sz val="11"/>
      <color theme="1"/>
      <name val="Tw Cen MT"/>
      <family val="2"/>
    </font>
    <font>
      <sz val="10"/>
      <color theme="1"/>
      <name val="Tw Cen MT"/>
      <family val="2"/>
    </font>
    <font>
      <sz val="10"/>
      <color theme="1"/>
      <name val="Calibri"/>
      <family val="2"/>
      <scheme val="minor"/>
    </font>
    <font>
      <sz val="12"/>
      <color theme="1"/>
      <name val="Tw Cen MT"/>
      <family val="2"/>
    </font>
    <font>
      <sz val="10"/>
      <color theme="1"/>
      <name val="Garamond"/>
      <family val="1"/>
    </font>
    <font>
      <b/>
      <sz val="10"/>
      <color theme="1"/>
      <name val="Garamond"/>
      <family val="1"/>
    </font>
    <font>
      <b/>
      <sz val="11"/>
      <color theme="1"/>
      <name val="Garamond"/>
      <family val="1"/>
    </font>
    <font>
      <b/>
      <sz val="12"/>
      <color theme="1"/>
      <name val="Calibri"/>
      <family val="2"/>
    </font>
    <font>
      <b/>
      <sz val="14"/>
      <color theme="1"/>
      <name val="Calibri"/>
      <family val="2"/>
    </font>
    <font>
      <b/>
      <sz val="16"/>
      <color theme="1"/>
      <name val="Calibri"/>
      <family val="2"/>
    </font>
    <font>
      <sz val="11"/>
      <color theme="1"/>
      <name val="Garamond"/>
      <family val="1"/>
    </font>
    <font>
      <b/>
      <sz val="11"/>
      <color theme="1"/>
      <name val="Calibri"/>
      <family val="2"/>
    </font>
    <font>
      <b/>
      <sz val="14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FF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theme="1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theme="1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theme="1"/>
      </right>
      <top style="medium">
        <color indexed="64"/>
      </top>
      <bottom/>
      <diagonal/>
    </border>
    <border>
      <left style="medium">
        <color theme="1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theme="1"/>
      </right>
      <top style="medium">
        <color theme="1"/>
      </top>
      <bottom/>
      <diagonal/>
    </border>
    <border>
      <left style="thin">
        <color theme="1"/>
      </left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medium">
        <color theme="1"/>
      </top>
      <bottom style="thin">
        <color theme="1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theme="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/>
      <bottom style="thin">
        <color indexed="64"/>
      </bottom>
      <diagonal/>
    </border>
    <border>
      <left style="medium">
        <color theme="1"/>
      </left>
      <right style="medium">
        <color indexed="64"/>
      </right>
      <top/>
      <bottom style="thin">
        <color indexed="64"/>
      </bottom>
      <diagonal/>
    </border>
    <border>
      <left style="medium">
        <color theme="1"/>
      </left>
      <right style="medium">
        <color theme="1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medium">
        <color indexed="64"/>
      </bottom>
      <diagonal/>
    </border>
    <border>
      <left/>
      <right style="double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theme="1"/>
      </left>
      <right/>
      <top style="medium">
        <color indexed="64"/>
      </top>
      <bottom style="medium">
        <color theme="1"/>
      </bottom>
      <diagonal/>
    </border>
    <border>
      <left/>
      <right style="medium">
        <color theme="1"/>
      </right>
      <top style="medium">
        <color indexed="64"/>
      </top>
      <bottom style="medium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theme="1"/>
      </right>
      <top style="thin">
        <color theme="1"/>
      </top>
      <bottom/>
      <diagonal/>
    </border>
    <border>
      <left style="medium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54">
    <xf numFmtId="0" fontId="0" fillId="0" borderId="0" xfId="0"/>
    <xf numFmtId="0" fontId="2" fillId="0" borderId="0" xfId="0" applyFont="1"/>
    <xf numFmtId="165" fontId="1" fillId="0" borderId="0" xfId="1" applyNumberFormat="1" applyFont="1"/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2" borderId="9" xfId="0" applyNumberFormat="1" applyFont="1" applyFill="1" applyBorder="1" applyAlignment="1">
      <alignment vertical="center"/>
    </xf>
    <xf numFmtId="0" fontId="4" fillId="2" borderId="11" xfId="1" applyNumberFormat="1" applyFont="1" applyFill="1" applyBorder="1" applyAlignment="1">
      <alignment vertical="center"/>
    </xf>
    <xf numFmtId="0" fontId="7" fillId="0" borderId="12" xfId="0" applyNumberFormat="1" applyFont="1" applyFill="1" applyBorder="1"/>
    <xf numFmtId="0" fontId="7" fillId="3" borderId="13" xfId="0" applyNumberFormat="1" applyFont="1" applyFill="1" applyBorder="1"/>
    <xf numFmtId="0" fontId="7" fillId="0" borderId="14" xfId="0" applyNumberFormat="1" applyFont="1" applyFill="1" applyBorder="1"/>
    <xf numFmtId="0" fontId="7" fillId="3" borderId="15" xfId="0" applyNumberFormat="1" applyFont="1" applyFill="1" applyBorder="1"/>
    <xf numFmtId="0" fontId="4" fillId="4" borderId="17" xfId="1" applyNumberFormat="1" applyFont="1" applyFill="1" applyBorder="1" applyAlignment="1">
      <alignment vertical="center"/>
    </xf>
    <xf numFmtId="0" fontId="8" fillId="0" borderId="0" xfId="0" applyFont="1"/>
    <xf numFmtId="0" fontId="1" fillId="0" borderId="19" xfId="1" applyNumberFormat="1" applyFont="1" applyBorder="1"/>
    <xf numFmtId="0" fontId="1" fillId="0" borderId="20" xfId="1" applyNumberFormat="1" applyFont="1" applyBorder="1"/>
    <xf numFmtId="1" fontId="1" fillId="2" borderId="21" xfId="1" applyNumberFormat="1" applyFont="1" applyFill="1" applyBorder="1"/>
    <xf numFmtId="1" fontId="1" fillId="2" borderId="22" xfId="1" applyNumberFormat="1" applyFont="1" applyFill="1" applyBorder="1"/>
    <xf numFmtId="166" fontId="1" fillId="0" borderId="0" xfId="1" applyNumberFormat="1" applyFont="1"/>
    <xf numFmtId="1" fontId="1" fillId="2" borderId="23" xfId="1" applyNumberFormat="1" applyFont="1" applyFill="1" applyBorder="1"/>
    <xf numFmtId="0" fontId="10" fillId="0" borderId="0" xfId="0" applyFont="1"/>
    <xf numFmtId="0" fontId="11" fillId="0" borderId="0" xfId="0" applyFont="1"/>
    <xf numFmtId="0" fontId="11" fillId="0" borderId="0" xfId="0" applyFont="1" applyBorder="1"/>
    <xf numFmtId="0" fontId="10" fillId="0" borderId="0" xfId="0" applyFont="1" applyBorder="1"/>
    <xf numFmtId="0" fontId="12" fillId="0" borderId="24" xfId="0" applyFont="1" applyBorder="1"/>
    <xf numFmtId="0" fontId="11" fillId="0" borderId="24" xfId="0" applyFont="1" applyBorder="1"/>
    <xf numFmtId="0" fontId="10" fillId="0" borderId="0" xfId="0" applyFont="1" applyBorder="1" applyAlignment="1"/>
    <xf numFmtId="0" fontId="10" fillId="0" borderId="0" xfId="0" applyFont="1" applyBorder="1" applyAlignment="1">
      <alignment horizontal="center"/>
    </xf>
    <xf numFmtId="0" fontId="10" fillId="0" borderId="29" xfId="0" applyFont="1" applyBorder="1"/>
    <xf numFmtId="0" fontId="10" fillId="0" borderId="30" xfId="0" applyFont="1" applyBorder="1"/>
    <xf numFmtId="0" fontId="11" fillId="0" borderId="31" xfId="0" applyFont="1" applyBorder="1"/>
    <xf numFmtId="0" fontId="11" fillId="0" borderId="32" xfId="0" applyFont="1" applyBorder="1"/>
    <xf numFmtId="0" fontId="11" fillId="0" borderId="33" xfId="0" applyFont="1" applyBorder="1"/>
    <xf numFmtId="0" fontId="11" fillId="0" borderId="34" xfId="0" applyFont="1" applyBorder="1"/>
    <xf numFmtId="0" fontId="11" fillId="0" borderId="35" xfId="0" applyFont="1" applyBorder="1"/>
    <xf numFmtId="0" fontId="11" fillId="0" borderId="37" xfId="0" applyFont="1" applyBorder="1"/>
    <xf numFmtId="0" fontId="11" fillId="0" borderId="28" xfId="0" applyFont="1" applyBorder="1" applyAlignment="1">
      <alignment wrapText="1"/>
    </xf>
    <xf numFmtId="0" fontId="10" fillId="0" borderId="0" xfId="0" applyFont="1" applyAlignment="1">
      <alignment horizontal="right"/>
    </xf>
    <xf numFmtId="14" fontId="10" fillId="0" borderId="0" xfId="0" applyNumberFormat="1" applyFont="1" applyAlignment="1">
      <alignment horizontal="center"/>
    </xf>
    <xf numFmtId="0" fontId="11" fillId="0" borderId="36" xfId="0" applyFont="1" applyBorder="1" applyAlignment="1"/>
    <xf numFmtId="0" fontId="11" fillId="0" borderId="38" xfId="0" applyFont="1" applyBorder="1" applyAlignment="1"/>
    <xf numFmtId="0" fontId="3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5" fillId="5" borderId="3" xfId="0" applyFont="1" applyFill="1" applyBorder="1" applyAlignment="1">
      <alignment vertical="center"/>
    </xf>
    <xf numFmtId="0" fontId="6" fillId="0" borderId="5" xfId="0" applyFont="1" applyBorder="1" applyAlignment="1">
      <alignment horizontal="center" vertical="center"/>
    </xf>
    <xf numFmtId="14" fontId="6" fillId="0" borderId="5" xfId="0" applyNumberFormat="1" applyFont="1" applyBorder="1" applyAlignment="1">
      <alignment horizontal="center" vertical="center"/>
    </xf>
    <xf numFmtId="0" fontId="9" fillId="0" borderId="43" xfId="0" applyFont="1" applyBorder="1"/>
    <xf numFmtId="0" fontId="12" fillId="0" borderId="0" xfId="0" applyFont="1"/>
    <xf numFmtId="0" fontId="16" fillId="0" borderId="0" xfId="0" applyFont="1"/>
    <xf numFmtId="0" fontId="0" fillId="0" borderId="0" xfId="0" applyFont="1"/>
    <xf numFmtId="0" fontId="12" fillId="0" borderId="0" xfId="0" applyFont="1" applyBorder="1"/>
    <xf numFmtId="0" fontId="16" fillId="0" borderId="0" xfId="0" applyFont="1" applyBorder="1"/>
    <xf numFmtId="0" fontId="16" fillId="0" borderId="0" xfId="0" applyFont="1" applyBorder="1" applyAlignment="1"/>
    <xf numFmtId="0" fontId="16" fillId="0" borderId="0" xfId="0" applyFont="1" applyBorder="1" applyAlignment="1">
      <alignment horizontal="center"/>
    </xf>
    <xf numFmtId="0" fontId="16" fillId="0" borderId="29" xfId="0" applyFont="1" applyBorder="1"/>
    <xf numFmtId="0" fontId="16" fillId="0" borderId="30" xfId="0" applyFont="1" applyBorder="1"/>
    <xf numFmtId="0" fontId="12" fillId="0" borderId="31" xfId="0" applyFont="1" applyBorder="1"/>
    <xf numFmtId="0" fontId="12" fillId="0" borderId="32" xfId="0" applyFont="1" applyBorder="1"/>
    <xf numFmtId="0" fontId="12" fillId="0" borderId="33" xfId="0" applyFont="1" applyBorder="1"/>
    <xf numFmtId="0" fontId="12" fillId="0" borderId="34" xfId="0" applyFont="1" applyBorder="1"/>
    <xf numFmtId="0" fontId="12" fillId="0" borderId="35" xfId="0" applyFont="1" applyBorder="1"/>
    <xf numFmtId="0" fontId="12" fillId="0" borderId="38" xfId="0" applyFont="1" applyBorder="1" applyAlignment="1"/>
    <xf numFmtId="0" fontId="12" fillId="0" borderId="36" xfId="0" applyFont="1" applyBorder="1" applyAlignment="1"/>
    <xf numFmtId="0" fontId="12" fillId="0" borderId="37" xfId="0" applyFont="1" applyBorder="1"/>
    <xf numFmtId="0" fontId="12" fillId="0" borderId="28" xfId="0" applyFont="1" applyBorder="1" applyAlignment="1">
      <alignment wrapText="1"/>
    </xf>
    <xf numFmtId="0" fontId="16" fillId="0" borderId="0" xfId="0" applyFont="1" applyAlignment="1">
      <alignment horizontal="right"/>
    </xf>
    <xf numFmtId="14" fontId="16" fillId="0" borderId="0" xfId="0" applyNumberFormat="1" applyFont="1" applyAlignment="1">
      <alignment horizontal="center"/>
    </xf>
    <xf numFmtId="0" fontId="4" fillId="0" borderId="6" xfId="0" applyNumberFormat="1" applyFont="1" applyBorder="1" applyAlignment="1">
      <alignment vertical="center"/>
    </xf>
    <xf numFmtId="0" fontId="4" fillId="2" borderId="10" xfId="0" applyNumberFormat="1" applyFont="1" applyFill="1" applyBorder="1" applyAlignment="1">
      <alignment vertical="center"/>
    </xf>
    <xf numFmtId="0" fontId="4" fillId="2" borderId="11" xfId="0" applyNumberFormat="1" applyFont="1" applyFill="1" applyBorder="1" applyAlignment="1">
      <alignment vertical="center"/>
    </xf>
    <xf numFmtId="0" fontId="4" fillId="2" borderId="16" xfId="0" applyNumberFormat="1" applyFont="1" applyFill="1" applyBorder="1" applyAlignment="1">
      <alignment vertical="center"/>
    </xf>
    <xf numFmtId="0" fontId="4" fillId="0" borderId="43" xfId="0" applyNumberFormat="1" applyFont="1" applyBorder="1" applyAlignment="1">
      <alignment vertical="center"/>
    </xf>
    <xf numFmtId="0" fontId="2" fillId="0" borderId="43" xfId="0" applyFont="1" applyBorder="1"/>
    <xf numFmtId="0" fontId="0" fillId="0" borderId="43" xfId="0" applyBorder="1"/>
    <xf numFmtId="164" fontId="2" fillId="0" borderId="43" xfId="1" applyFont="1" applyBorder="1"/>
    <xf numFmtId="0" fontId="9" fillId="0" borderId="43" xfId="0" applyNumberFormat="1" applyFont="1" applyBorder="1"/>
    <xf numFmtId="0" fontId="1" fillId="0" borderId="43" xfId="1" applyNumberFormat="1" applyFont="1" applyBorder="1"/>
    <xf numFmtId="1" fontId="2" fillId="0" borderId="43" xfId="0" applyNumberFormat="1" applyFont="1" applyBorder="1"/>
    <xf numFmtId="0" fontId="16" fillId="0" borderId="36" xfId="0" applyFont="1" applyBorder="1" applyAlignment="1"/>
    <xf numFmtId="1" fontId="16" fillId="0" borderId="43" xfId="0" applyNumberFormat="1" applyFont="1" applyBorder="1" applyAlignment="1">
      <alignment horizontal="center"/>
    </xf>
    <xf numFmtId="1" fontId="16" fillId="0" borderId="43" xfId="0" applyNumberFormat="1" applyFont="1" applyBorder="1" applyAlignment="1"/>
    <xf numFmtId="1" fontId="10" fillId="0" borderId="43" xfId="0" applyNumberFormat="1" applyFont="1" applyBorder="1" applyAlignment="1"/>
    <xf numFmtId="0" fontId="18" fillId="0" borderId="0" xfId="0" applyFont="1"/>
    <xf numFmtId="0" fontId="12" fillId="0" borderId="25" xfId="0" applyFont="1" applyBorder="1" applyAlignment="1">
      <alignment vertical="center"/>
    </xf>
    <xf numFmtId="0" fontId="16" fillId="0" borderId="43" xfId="0" applyFont="1" applyBorder="1" applyAlignment="1"/>
    <xf numFmtId="1" fontId="10" fillId="0" borderId="35" xfId="0" applyNumberFormat="1" applyFont="1" applyBorder="1" applyAlignment="1">
      <alignment horizontal="center"/>
    </xf>
    <xf numFmtId="0" fontId="0" fillId="7" borderId="50" xfId="0" applyFill="1" applyBorder="1" applyAlignment="1">
      <alignment wrapText="1"/>
    </xf>
    <xf numFmtId="0" fontId="0" fillId="7" borderId="51" xfId="0" applyFill="1" applyBorder="1" applyAlignment="1">
      <alignment wrapText="1"/>
    </xf>
    <xf numFmtId="0" fontId="0" fillId="0" borderId="20" xfId="1" applyNumberFormat="1" applyFont="1" applyBorder="1"/>
    <xf numFmtId="0" fontId="1" fillId="0" borderId="52" xfId="1" applyNumberFormat="1" applyFont="1" applyBorder="1"/>
    <xf numFmtId="0" fontId="1" fillId="0" borderId="53" xfId="1" applyNumberFormat="1" applyFont="1" applyBorder="1"/>
    <xf numFmtId="1" fontId="10" fillId="0" borderId="35" xfId="0" applyNumberFormat="1" applyFont="1" applyBorder="1" applyAlignment="1"/>
    <xf numFmtId="0" fontId="10" fillId="0" borderId="43" xfId="0" applyFont="1" applyBorder="1" applyAlignment="1"/>
    <xf numFmtId="1" fontId="10" fillId="0" borderId="43" xfId="0" applyNumberFormat="1" applyFont="1" applyBorder="1" applyAlignment="1">
      <alignment horizontal="center"/>
    </xf>
    <xf numFmtId="0" fontId="0" fillId="0" borderId="18" xfId="0" applyBorder="1"/>
    <xf numFmtId="0" fontId="0" fillId="0" borderId="55" xfId="0" applyBorder="1"/>
    <xf numFmtId="0" fontId="0" fillId="0" borderId="0" xfId="0" applyBorder="1"/>
    <xf numFmtId="0" fontId="2" fillId="0" borderId="0" xfId="0" applyFont="1" applyBorder="1"/>
    <xf numFmtId="1" fontId="0" fillId="0" borderId="43" xfId="0" applyNumberFormat="1" applyBorder="1"/>
    <xf numFmtId="2" fontId="2" fillId="0" borderId="43" xfId="0" applyNumberFormat="1" applyFont="1" applyBorder="1"/>
    <xf numFmtId="14" fontId="0" fillId="0" borderId="0" xfId="0" applyNumberFormat="1" applyBorder="1"/>
    <xf numFmtId="0" fontId="6" fillId="6" borderId="39" xfId="0" applyFont="1" applyFill="1" applyBorder="1" applyAlignment="1">
      <alignment horizontal="center"/>
    </xf>
    <xf numFmtId="0" fontId="6" fillId="6" borderId="40" xfId="0" applyFont="1" applyFill="1" applyBorder="1" applyAlignment="1">
      <alignment horizontal="center"/>
    </xf>
    <xf numFmtId="0" fontId="4" fillId="0" borderId="44" xfId="0" applyNumberFormat="1" applyFont="1" applyBorder="1" applyAlignment="1">
      <alignment horizontal="center" vertical="center"/>
    </xf>
    <xf numFmtId="0" fontId="4" fillId="0" borderId="42" xfId="0" applyNumberFormat="1" applyFont="1" applyBorder="1" applyAlignment="1">
      <alignment horizontal="center" vertical="center"/>
    </xf>
    <xf numFmtId="0" fontId="4" fillId="0" borderId="41" xfId="0" applyNumberFormat="1" applyFont="1" applyBorder="1" applyAlignment="1">
      <alignment horizontal="center" vertical="center" wrapText="1"/>
    </xf>
    <xf numFmtId="0" fontId="4" fillId="0" borderId="42" xfId="0" applyNumberFormat="1" applyFont="1" applyBorder="1" applyAlignment="1">
      <alignment horizontal="center" vertical="center" wrapText="1"/>
    </xf>
    <xf numFmtId="0" fontId="4" fillId="0" borderId="7" xfId="0" applyNumberFormat="1" applyFont="1" applyBorder="1" applyAlignment="1">
      <alignment horizontal="center" vertical="center"/>
    </xf>
    <xf numFmtId="0" fontId="4" fillId="0" borderId="8" xfId="0" applyNumberFormat="1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2" fillId="0" borderId="54" xfId="0" applyFont="1" applyBorder="1" applyAlignment="1">
      <alignment horizontal="center"/>
    </xf>
    <xf numFmtId="0" fontId="2" fillId="0" borderId="55" xfId="0" applyFont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3" xfId="0" applyBorder="1" applyAlignment="1">
      <alignment horizontal="center"/>
    </xf>
    <xf numFmtId="2" fontId="2" fillId="0" borderId="18" xfId="0" applyNumberFormat="1" applyFont="1" applyBorder="1" applyAlignment="1">
      <alignment horizontal="center"/>
    </xf>
    <xf numFmtId="2" fontId="2" fillId="0" borderId="45" xfId="0" applyNumberFormat="1" applyFont="1" applyBorder="1" applyAlignment="1">
      <alignment horizontal="center"/>
    </xf>
    <xf numFmtId="0" fontId="12" fillId="0" borderId="25" xfId="0" applyFont="1" applyBorder="1" applyAlignment="1">
      <alignment horizontal="center" vertical="center"/>
    </xf>
    <xf numFmtId="0" fontId="12" fillId="0" borderId="26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6" xfId="0" applyFont="1" applyBorder="1" applyAlignment="1">
      <alignment horizontal="center"/>
    </xf>
    <xf numFmtId="0" fontId="12" fillId="0" borderId="27" xfId="0" applyFont="1" applyBorder="1" applyAlignment="1">
      <alignment horizontal="center"/>
    </xf>
    <xf numFmtId="10" fontId="16" fillId="0" borderId="46" xfId="2" applyNumberFormat="1" applyFont="1" applyBorder="1" applyAlignment="1">
      <alignment horizontal="center"/>
    </xf>
    <xf numFmtId="10" fontId="16" fillId="0" borderId="48" xfId="2" applyNumberFormat="1" applyFont="1" applyBorder="1" applyAlignment="1">
      <alignment horizontal="center"/>
    </xf>
    <xf numFmtId="0" fontId="12" fillId="0" borderId="0" xfId="0" applyFont="1" applyAlignment="1">
      <alignment horizontal="left"/>
    </xf>
    <xf numFmtId="0" fontId="16" fillId="0" borderId="35" xfId="0" applyFont="1" applyBorder="1" applyAlignment="1">
      <alignment horizontal="center"/>
    </xf>
    <xf numFmtId="0" fontId="16" fillId="0" borderId="36" xfId="0" applyFont="1" applyBorder="1" applyAlignment="1">
      <alignment horizontal="center"/>
    </xf>
    <xf numFmtId="10" fontId="16" fillId="0" borderId="36" xfId="2" applyNumberFormat="1" applyFont="1" applyBorder="1" applyAlignment="1">
      <alignment horizontal="center"/>
    </xf>
    <xf numFmtId="0" fontId="16" fillId="0" borderId="47" xfId="0" applyFont="1" applyBorder="1" applyAlignment="1">
      <alignment horizontal="center"/>
    </xf>
    <xf numFmtId="0" fontId="16" fillId="0" borderId="49" xfId="0" applyFont="1" applyBorder="1" applyAlignment="1">
      <alignment horizontal="center"/>
    </xf>
    <xf numFmtId="0" fontId="12" fillId="0" borderId="24" xfId="0" applyFont="1" applyBorder="1" applyAlignment="1">
      <alignment horizontal="center" vertical="center"/>
    </xf>
    <xf numFmtId="0" fontId="11" fillId="0" borderId="26" xfId="0" applyFont="1" applyBorder="1" applyAlignment="1">
      <alignment horizontal="left" vertical="center"/>
    </xf>
    <xf numFmtId="0" fontId="11" fillId="0" borderId="28" xfId="0" applyFont="1" applyBorder="1" applyAlignment="1">
      <alignment horizontal="left" vertical="center"/>
    </xf>
    <xf numFmtId="0" fontId="11" fillId="0" borderId="26" xfId="0" applyFont="1" applyBorder="1" applyAlignment="1">
      <alignment horizontal="center"/>
    </xf>
    <xf numFmtId="0" fontId="11" fillId="0" borderId="27" xfId="0" applyFont="1" applyBorder="1" applyAlignment="1">
      <alignment horizontal="center"/>
    </xf>
    <xf numFmtId="10" fontId="10" fillId="0" borderId="46" xfId="2" applyNumberFormat="1" applyFont="1" applyBorder="1" applyAlignment="1">
      <alignment horizontal="center"/>
    </xf>
    <xf numFmtId="10" fontId="10" fillId="0" borderId="48" xfId="2" applyNumberFormat="1" applyFont="1" applyBorder="1" applyAlignment="1">
      <alignment horizontal="center"/>
    </xf>
    <xf numFmtId="0" fontId="10" fillId="0" borderId="47" xfId="0" applyFont="1" applyBorder="1" applyAlignment="1">
      <alignment horizontal="center"/>
    </xf>
    <xf numFmtId="0" fontId="10" fillId="0" borderId="49" xfId="0" applyFont="1" applyBorder="1" applyAlignment="1">
      <alignment horizontal="center"/>
    </xf>
    <xf numFmtId="0" fontId="11" fillId="0" borderId="25" xfId="0" applyFont="1" applyBorder="1" applyAlignment="1">
      <alignment horizontal="center" vertical="center"/>
    </xf>
    <xf numFmtId="0" fontId="10" fillId="0" borderId="35" xfId="0" applyFont="1" applyBorder="1" applyAlignment="1">
      <alignment horizontal="center"/>
    </xf>
    <xf numFmtId="0" fontId="10" fillId="0" borderId="36" xfId="0" applyFont="1" applyBorder="1" applyAlignment="1">
      <alignment horizontal="center"/>
    </xf>
    <xf numFmtId="0" fontId="11" fillId="0" borderId="0" xfId="0" applyFont="1" applyAlignment="1">
      <alignment horizontal="left"/>
    </xf>
    <xf numFmtId="9" fontId="10" fillId="0" borderId="35" xfId="2" applyFont="1" applyBorder="1" applyAlignment="1">
      <alignment horizontal="center"/>
    </xf>
    <xf numFmtId="9" fontId="10" fillId="0" borderId="48" xfId="2" applyFont="1" applyBorder="1" applyAlignment="1">
      <alignment horizontal="center"/>
    </xf>
    <xf numFmtId="9" fontId="10" fillId="0" borderId="46" xfId="2" applyFont="1" applyBorder="1" applyAlignment="1">
      <alignment horizontal="center"/>
    </xf>
    <xf numFmtId="0" fontId="10" fillId="0" borderId="43" xfId="0" applyFont="1" applyBorder="1" applyAlignment="1">
      <alignment horizontal="center"/>
    </xf>
    <xf numFmtId="9" fontId="10" fillId="0" borderId="36" xfId="2" applyFont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119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30480</xdr:colOff>
      <xdr:row>0</xdr:row>
      <xdr:rowOff>144780</xdr:rowOff>
    </xdr:from>
    <xdr:to>
      <xdr:col>1</xdr:col>
      <xdr:colOff>693420</xdr:colOff>
      <xdr:row>4</xdr:row>
      <xdr:rowOff>106680</xdr:rowOff>
    </xdr:to>
    <xdr:pic>
      <xdr:nvPicPr>
        <xdr:cNvPr id="2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44780"/>
          <a:ext cx="662940" cy="6934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6</xdr:col>
      <xdr:colOff>30480</xdr:colOff>
      <xdr:row>0</xdr:row>
      <xdr:rowOff>144780</xdr:rowOff>
    </xdr:from>
    <xdr:ext cx="662940" cy="693420"/>
    <xdr:pic>
      <xdr:nvPicPr>
        <xdr:cNvPr id="5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27660"/>
          <a:ext cx="662940" cy="6934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30480</xdr:colOff>
      <xdr:row>36</xdr:row>
      <xdr:rowOff>144780</xdr:rowOff>
    </xdr:from>
    <xdr:ext cx="662940" cy="673100"/>
    <xdr:pic>
      <xdr:nvPicPr>
        <xdr:cNvPr id="6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1780" y="144780"/>
          <a:ext cx="662940" cy="673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30480</xdr:colOff>
      <xdr:row>36</xdr:row>
      <xdr:rowOff>144780</xdr:rowOff>
    </xdr:from>
    <xdr:ext cx="662940" cy="693420"/>
    <xdr:pic>
      <xdr:nvPicPr>
        <xdr:cNvPr id="7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37480" y="144780"/>
          <a:ext cx="662940" cy="6934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30480</xdr:colOff>
      <xdr:row>72</xdr:row>
      <xdr:rowOff>144780</xdr:rowOff>
    </xdr:from>
    <xdr:ext cx="662940" cy="673100"/>
    <xdr:pic>
      <xdr:nvPicPr>
        <xdr:cNvPr id="10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1780" y="7371080"/>
          <a:ext cx="662940" cy="673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30480</xdr:colOff>
      <xdr:row>72</xdr:row>
      <xdr:rowOff>144780</xdr:rowOff>
    </xdr:from>
    <xdr:ext cx="662940" cy="693420"/>
    <xdr:pic>
      <xdr:nvPicPr>
        <xdr:cNvPr id="11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37480" y="7371080"/>
          <a:ext cx="662940" cy="6934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30480</xdr:colOff>
      <xdr:row>72</xdr:row>
      <xdr:rowOff>144780</xdr:rowOff>
    </xdr:from>
    <xdr:ext cx="662940" cy="673100"/>
    <xdr:pic>
      <xdr:nvPicPr>
        <xdr:cNvPr id="12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1780" y="7371080"/>
          <a:ext cx="662940" cy="673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30480</xdr:colOff>
      <xdr:row>72</xdr:row>
      <xdr:rowOff>144780</xdr:rowOff>
    </xdr:from>
    <xdr:ext cx="662940" cy="693420"/>
    <xdr:pic>
      <xdr:nvPicPr>
        <xdr:cNvPr id="13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37480" y="7371080"/>
          <a:ext cx="662940" cy="6934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30480</xdr:colOff>
      <xdr:row>108</xdr:row>
      <xdr:rowOff>144780</xdr:rowOff>
    </xdr:from>
    <xdr:ext cx="662940" cy="673100"/>
    <xdr:pic>
      <xdr:nvPicPr>
        <xdr:cNvPr id="14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1780" y="14330680"/>
          <a:ext cx="662940" cy="673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30480</xdr:colOff>
      <xdr:row>108</xdr:row>
      <xdr:rowOff>144780</xdr:rowOff>
    </xdr:from>
    <xdr:ext cx="662940" cy="693420"/>
    <xdr:pic>
      <xdr:nvPicPr>
        <xdr:cNvPr id="15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37480" y="14330680"/>
          <a:ext cx="662940" cy="6934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30480</xdr:colOff>
      <xdr:row>108</xdr:row>
      <xdr:rowOff>144780</xdr:rowOff>
    </xdr:from>
    <xdr:ext cx="662940" cy="673100"/>
    <xdr:pic>
      <xdr:nvPicPr>
        <xdr:cNvPr id="16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1780" y="14330680"/>
          <a:ext cx="662940" cy="673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30480</xdr:colOff>
      <xdr:row>108</xdr:row>
      <xdr:rowOff>144780</xdr:rowOff>
    </xdr:from>
    <xdr:ext cx="662940" cy="693420"/>
    <xdr:pic>
      <xdr:nvPicPr>
        <xdr:cNvPr id="17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37480" y="14330680"/>
          <a:ext cx="662940" cy="6934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30480</xdr:colOff>
      <xdr:row>144</xdr:row>
      <xdr:rowOff>144780</xdr:rowOff>
    </xdr:from>
    <xdr:ext cx="662940" cy="673100"/>
    <xdr:pic>
      <xdr:nvPicPr>
        <xdr:cNvPr id="18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1780" y="21290280"/>
          <a:ext cx="662940" cy="673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30480</xdr:colOff>
      <xdr:row>144</xdr:row>
      <xdr:rowOff>144780</xdr:rowOff>
    </xdr:from>
    <xdr:ext cx="662940" cy="693420"/>
    <xdr:pic>
      <xdr:nvPicPr>
        <xdr:cNvPr id="19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37480" y="21290280"/>
          <a:ext cx="662940" cy="6934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30480</xdr:colOff>
      <xdr:row>144</xdr:row>
      <xdr:rowOff>144780</xdr:rowOff>
    </xdr:from>
    <xdr:ext cx="662940" cy="673100"/>
    <xdr:pic>
      <xdr:nvPicPr>
        <xdr:cNvPr id="20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1780" y="21290280"/>
          <a:ext cx="662940" cy="673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30480</xdr:colOff>
      <xdr:row>144</xdr:row>
      <xdr:rowOff>144780</xdr:rowOff>
    </xdr:from>
    <xdr:ext cx="662940" cy="693420"/>
    <xdr:pic>
      <xdr:nvPicPr>
        <xdr:cNvPr id="21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37480" y="21290280"/>
          <a:ext cx="662940" cy="6934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30480</xdr:colOff>
      <xdr:row>180</xdr:row>
      <xdr:rowOff>144780</xdr:rowOff>
    </xdr:from>
    <xdr:ext cx="662940" cy="673100"/>
    <xdr:pic>
      <xdr:nvPicPr>
        <xdr:cNvPr id="22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1780" y="28249880"/>
          <a:ext cx="662940" cy="673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30480</xdr:colOff>
      <xdr:row>180</xdr:row>
      <xdr:rowOff>144780</xdr:rowOff>
    </xdr:from>
    <xdr:ext cx="662940" cy="693420"/>
    <xdr:pic>
      <xdr:nvPicPr>
        <xdr:cNvPr id="23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37480" y="28249880"/>
          <a:ext cx="662940" cy="6934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30480</xdr:colOff>
      <xdr:row>180</xdr:row>
      <xdr:rowOff>144780</xdr:rowOff>
    </xdr:from>
    <xdr:ext cx="662940" cy="673100"/>
    <xdr:pic>
      <xdr:nvPicPr>
        <xdr:cNvPr id="24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1780" y="28249880"/>
          <a:ext cx="662940" cy="673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30480</xdr:colOff>
      <xdr:row>180</xdr:row>
      <xdr:rowOff>144780</xdr:rowOff>
    </xdr:from>
    <xdr:ext cx="662940" cy="693420"/>
    <xdr:pic>
      <xdr:nvPicPr>
        <xdr:cNvPr id="25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37480" y="28249880"/>
          <a:ext cx="662940" cy="6934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30480</xdr:colOff>
      <xdr:row>216</xdr:row>
      <xdr:rowOff>144780</xdr:rowOff>
    </xdr:from>
    <xdr:ext cx="662940" cy="673100"/>
    <xdr:pic>
      <xdr:nvPicPr>
        <xdr:cNvPr id="26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1780" y="35209480"/>
          <a:ext cx="662940" cy="673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30480</xdr:colOff>
      <xdr:row>216</xdr:row>
      <xdr:rowOff>144780</xdr:rowOff>
    </xdr:from>
    <xdr:ext cx="662940" cy="693420"/>
    <xdr:pic>
      <xdr:nvPicPr>
        <xdr:cNvPr id="27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37480" y="35209480"/>
          <a:ext cx="662940" cy="6934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30480</xdr:colOff>
      <xdr:row>216</xdr:row>
      <xdr:rowOff>144780</xdr:rowOff>
    </xdr:from>
    <xdr:ext cx="662940" cy="673100"/>
    <xdr:pic>
      <xdr:nvPicPr>
        <xdr:cNvPr id="28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1780" y="35209480"/>
          <a:ext cx="662940" cy="673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30480</xdr:colOff>
      <xdr:row>216</xdr:row>
      <xdr:rowOff>144780</xdr:rowOff>
    </xdr:from>
    <xdr:ext cx="662940" cy="693420"/>
    <xdr:pic>
      <xdr:nvPicPr>
        <xdr:cNvPr id="29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37480" y="35209480"/>
          <a:ext cx="662940" cy="6934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30480</xdr:colOff>
      <xdr:row>252</xdr:row>
      <xdr:rowOff>144780</xdr:rowOff>
    </xdr:from>
    <xdr:ext cx="662940" cy="673100"/>
    <xdr:pic>
      <xdr:nvPicPr>
        <xdr:cNvPr id="32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1780" y="7371080"/>
          <a:ext cx="662940" cy="673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30480</xdr:colOff>
      <xdr:row>252</xdr:row>
      <xdr:rowOff>144780</xdr:rowOff>
    </xdr:from>
    <xdr:ext cx="662940" cy="693420"/>
    <xdr:pic>
      <xdr:nvPicPr>
        <xdr:cNvPr id="33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37480" y="7371080"/>
          <a:ext cx="662940" cy="6934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30480</xdr:colOff>
      <xdr:row>288</xdr:row>
      <xdr:rowOff>144780</xdr:rowOff>
    </xdr:from>
    <xdr:ext cx="662940" cy="673100"/>
    <xdr:pic>
      <xdr:nvPicPr>
        <xdr:cNvPr id="34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1780" y="14330680"/>
          <a:ext cx="662940" cy="673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30480</xdr:colOff>
      <xdr:row>288</xdr:row>
      <xdr:rowOff>144780</xdr:rowOff>
    </xdr:from>
    <xdr:ext cx="662940" cy="693420"/>
    <xdr:pic>
      <xdr:nvPicPr>
        <xdr:cNvPr id="35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37480" y="14330680"/>
          <a:ext cx="662940" cy="6934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30480</xdr:colOff>
      <xdr:row>288</xdr:row>
      <xdr:rowOff>144780</xdr:rowOff>
    </xdr:from>
    <xdr:ext cx="662940" cy="673100"/>
    <xdr:pic>
      <xdr:nvPicPr>
        <xdr:cNvPr id="36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1780" y="14330680"/>
          <a:ext cx="662940" cy="673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30480</xdr:colOff>
      <xdr:row>288</xdr:row>
      <xdr:rowOff>144780</xdr:rowOff>
    </xdr:from>
    <xdr:ext cx="662940" cy="693420"/>
    <xdr:pic>
      <xdr:nvPicPr>
        <xdr:cNvPr id="37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37480" y="14330680"/>
          <a:ext cx="662940" cy="6934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30480</xdr:colOff>
      <xdr:row>324</xdr:row>
      <xdr:rowOff>144780</xdr:rowOff>
    </xdr:from>
    <xdr:ext cx="662940" cy="673100"/>
    <xdr:pic>
      <xdr:nvPicPr>
        <xdr:cNvPr id="38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1780" y="21290280"/>
          <a:ext cx="662940" cy="673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30480</xdr:colOff>
      <xdr:row>324</xdr:row>
      <xdr:rowOff>144780</xdr:rowOff>
    </xdr:from>
    <xdr:ext cx="662940" cy="693420"/>
    <xdr:pic>
      <xdr:nvPicPr>
        <xdr:cNvPr id="39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37480" y="21290280"/>
          <a:ext cx="662940" cy="6934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30480</xdr:colOff>
      <xdr:row>324</xdr:row>
      <xdr:rowOff>144780</xdr:rowOff>
    </xdr:from>
    <xdr:ext cx="662940" cy="673100"/>
    <xdr:pic>
      <xdr:nvPicPr>
        <xdr:cNvPr id="40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1780" y="21290280"/>
          <a:ext cx="662940" cy="673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30480</xdr:colOff>
      <xdr:row>324</xdr:row>
      <xdr:rowOff>144780</xdr:rowOff>
    </xdr:from>
    <xdr:ext cx="662940" cy="693420"/>
    <xdr:pic>
      <xdr:nvPicPr>
        <xdr:cNvPr id="41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37480" y="21290280"/>
          <a:ext cx="662940" cy="6934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30480</xdr:colOff>
      <xdr:row>360</xdr:row>
      <xdr:rowOff>144780</xdr:rowOff>
    </xdr:from>
    <xdr:ext cx="662940" cy="673100"/>
    <xdr:pic>
      <xdr:nvPicPr>
        <xdr:cNvPr id="42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1780" y="28249880"/>
          <a:ext cx="662940" cy="673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30480</xdr:colOff>
      <xdr:row>360</xdr:row>
      <xdr:rowOff>144780</xdr:rowOff>
    </xdr:from>
    <xdr:ext cx="662940" cy="693420"/>
    <xdr:pic>
      <xdr:nvPicPr>
        <xdr:cNvPr id="43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37480" y="28249880"/>
          <a:ext cx="662940" cy="6934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30480</xdr:colOff>
      <xdr:row>360</xdr:row>
      <xdr:rowOff>144780</xdr:rowOff>
    </xdr:from>
    <xdr:ext cx="662940" cy="673100"/>
    <xdr:pic>
      <xdr:nvPicPr>
        <xdr:cNvPr id="44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1780" y="28249880"/>
          <a:ext cx="662940" cy="673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30480</xdr:colOff>
      <xdr:row>360</xdr:row>
      <xdr:rowOff>144780</xdr:rowOff>
    </xdr:from>
    <xdr:ext cx="662940" cy="693420"/>
    <xdr:pic>
      <xdr:nvPicPr>
        <xdr:cNvPr id="45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37480" y="28249880"/>
          <a:ext cx="662940" cy="6934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30480</xdr:colOff>
      <xdr:row>396</xdr:row>
      <xdr:rowOff>144780</xdr:rowOff>
    </xdr:from>
    <xdr:ext cx="662940" cy="673100"/>
    <xdr:pic>
      <xdr:nvPicPr>
        <xdr:cNvPr id="46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1780" y="35209480"/>
          <a:ext cx="662940" cy="673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30480</xdr:colOff>
      <xdr:row>396</xdr:row>
      <xdr:rowOff>144780</xdr:rowOff>
    </xdr:from>
    <xdr:ext cx="662940" cy="693420"/>
    <xdr:pic>
      <xdr:nvPicPr>
        <xdr:cNvPr id="47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37480" y="35209480"/>
          <a:ext cx="662940" cy="6934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30480</xdr:colOff>
      <xdr:row>396</xdr:row>
      <xdr:rowOff>144780</xdr:rowOff>
    </xdr:from>
    <xdr:ext cx="662940" cy="673100"/>
    <xdr:pic>
      <xdr:nvPicPr>
        <xdr:cNvPr id="48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1780" y="35209480"/>
          <a:ext cx="662940" cy="673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30480</xdr:colOff>
      <xdr:row>396</xdr:row>
      <xdr:rowOff>144780</xdr:rowOff>
    </xdr:from>
    <xdr:ext cx="662940" cy="693420"/>
    <xdr:pic>
      <xdr:nvPicPr>
        <xdr:cNvPr id="49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37480" y="35209480"/>
          <a:ext cx="662940" cy="6934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30480</xdr:colOff>
      <xdr:row>432</xdr:row>
      <xdr:rowOff>144780</xdr:rowOff>
    </xdr:from>
    <xdr:ext cx="662940" cy="673100"/>
    <xdr:pic>
      <xdr:nvPicPr>
        <xdr:cNvPr id="50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1780" y="42169080"/>
          <a:ext cx="662940" cy="673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30480</xdr:colOff>
      <xdr:row>432</xdr:row>
      <xdr:rowOff>144780</xdr:rowOff>
    </xdr:from>
    <xdr:ext cx="662940" cy="693420"/>
    <xdr:pic>
      <xdr:nvPicPr>
        <xdr:cNvPr id="51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37480" y="42169080"/>
          <a:ext cx="662940" cy="6934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30480</xdr:colOff>
      <xdr:row>432</xdr:row>
      <xdr:rowOff>144780</xdr:rowOff>
    </xdr:from>
    <xdr:ext cx="662940" cy="673100"/>
    <xdr:pic>
      <xdr:nvPicPr>
        <xdr:cNvPr id="52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1780" y="42169080"/>
          <a:ext cx="662940" cy="673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30480</xdr:colOff>
      <xdr:row>432</xdr:row>
      <xdr:rowOff>144780</xdr:rowOff>
    </xdr:from>
    <xdr:ext cx="662940" cy="693420"/>
    <xdr:pic>
      <xdr:nvPicPr>
        <xdr:cNvPr id="53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37480" y="42169080"/>
          <a:ext cx="662940" cy="6934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30480</xdr:colOff>
      <xdr:row>396</xdr:row>
      <xdr:rowOff>144780</xdr:rowOff>
    </xdr:from>
    <xdr:ext cx="662940" cy="673100"/>
    <xdr:pic>
      <xdr:nvPicPr>
        <xdr:cNvPr id="54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1780" y="28249880"/>
          <a:ext cx="662940" cy="673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30480</xdr:colOff>
      <xdr:row>396</xdr:row>
      <xdr:rowOff>144780</xdr:rowOff>
    </xdr:from>
    <xdr:ext cx="662940" cy="693420"/>
    <xdr:pic>
      <xdr:nvPicPr>
        <xdr:cNvPr id="55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37480" y="28249880"/>
          <a:ext cx="662940" cy="6934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30480</xdr:colOff>
      <xdr:row>396</xdr:row>
      <xdr:rowOff>144780</xdr:rowOff>
    </xdr:from>
    <xdr:ext cx="662940" cy="673100"/>
    <xdr:pic>
      <xdr:nvPicPr>
        <xdr:cNvPr id="56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1780" y="28249880"/>
          <a:ext cx="662940" cy="673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30480</xdr:colOff>
      <xdr:row>396</xdr:row>
      <xdr:rowOff>144780</xdr:rowOff>
    </xdr:from>
    <xdr:ext cx="662940" cy="693420"/>
    <xdr:pic>
      <xdr:nvPicPr>
        <xdr:cNvPr id="57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37480" y="28249880"/>
          <a:ext cx="662940" cy="6934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30480</xdr:colOff>
      <xdr:row>432</xdr:row>
      <xdr:rowOff>144780</xdr:rowOff>
    </xdr:from>
    <xdr:ext cx="662940" cy="673100"/>
    <xdr:pic>
      <xdr:nvPicPr>
        <xdr:cNvPr id="58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1780" y="35209480"/>
          <a:ext cx="662940" cy="673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30480</xdr:colOff>
      <xdr:row>432</xdr:row>
      <xdr:rowOff>144780</xdr:rowOff>
    </xdr:from>
    <xdr:ext cx="662940" cy="693420"/>
    <xdr:pic>
      <xdr:nvPicPr>
        <xdr:cNvPr id="59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37480" y="35209480"/>
          <a:ext cx="662940" cy="6934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30480</xdr:colOff>
      <xdr:row>432</xdr:row>
      <xdr:rowOff>144780</xdr:rowOff>
    </xdr:from>
    <xdr:ext cx="662940" cy="673100"/>
    <xdr:pic>
      <xdr:nvPicPr>
        <xdr:cNvPr id="60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1780" y="35209480"/>
          <a:ext cx="662940" cy="673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30480</xdr:colOff>
      <xdr:row>432</xdr:row>
      <xdr:rowOff>144780</xdr:rowOff>
    </xdr:from>
    <xdr:ext cx="662940" cy="693420"/>
    <xdr:pic>
      <xdr:nvPicPr>
        <xdr:cNvPr id="61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37480" y="35209480"/>
          <a:ext cx="662940" cy="6934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30480</xdr:colOff>
      <xdr:row>468</xdr:row>
      <xdr:rowOff>144780</xdr:rowOff>
    </xdr:from>
    <xdr:ext cx="662940" cy="673100"/>
    <xdr:pic>
      <xdr:nvPicPr>
        <xdr:cNvPr id="62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1780" y="42169080"/>
          <a:ext cx="662940" cy="673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30480</xdr:colOff>
      <xdr:row>468</xdr:row>
      <xdr:rowOff>144780</xdr:rowOff>
    </xdr:from>
    <xdr:ext cx="662940" cy="693420"/>
    <xdr:pic>
      <xdr:nvPicPr>
        <xdr:cNvPr id="63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37480" y="42169080"/>
          <a:ext cx="662940" cy="6934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30480</xdr:colOff>
      <xdr:row>468</xdr:row>
      <xdr:rowOff>144780</xdr:rowOff>
    </xdr:from>
    <xdr:ext cx="662940" cy="673100"/>
    <xdr:pic>
      <xdr:nvPicPr>
        <xdr:cNvPr id="64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1780" y="42169080"/>
          <a:ext cx="662940" cy="673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30480</xdr:colOff>
      <xdr:row>468</xdr:row>
      <xdr:rowOff>144780</xdr:rowOff>
    </xdr:from>
    <xdr:ext cx="662940" cy="693420"/>
    <xdr:pic>
      <xdr:nvPicPr>
        <xdr:cNvPr id="65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37480" y="42169080"/>
          <a:ext cx="662940" cy="6934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30480</xdr:colOff>
      <xdr:row>504</xdr:row>
      <xdr:rowOff>144780</xdr:rowOff>
    </xdr:from>
    <xdr:ext cx="662940" cy="673100"/>
    <xdr:pic>
      <xdr:nvPicPr>
        <xdr:cNvPr id="66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1780" y="49128680"/>
          <a:ext cx="662940" cy="673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30480</xdr:colOff>
      <xdr:row>504</xdr:row>
      <xdr:rowOff>144780</xdr:rowOff>
    </xdr:from>
    <xdr:ext cx="662940" cy="693420"/>
    <xdr:pic>
      <xdr:nvPicPr>
        <xdr:cNvPr id="67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37480" y="49128680"/>
          <a:ext cx="662940" cy="6934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30480</xdr:colOff>
      <xdr:row>540</xdr:row>
      <xdr:rowOff>144780</xdr:rowOff>
    </xdr:from>
    <xdr:ext cx="662940" cy="673100"/>
    <xdr:pic>
      <xdr:nvPicPr>
        <xdr:cNvPr id="68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1780" y="56088280"/>
          <a:ext cx="662940" cy="673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30480</xdr:colOff>
      <xdr:row>540</xdr:row>
      <xdr:rowOff>144780</xdr:rowOff>
    </xdr:from>
    <xdr:ext cx="662940" cy="693420"/>
    <xdr:pic>
      <xdr:nvPicPr>
        <xdr:cNvPr id="69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37480" y="56088280"/>
          <a:ext cx="662940" cy="6934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30480</xdr:colOff>
      <xdr:row>540</xdr:row>
      <xdr:rowOff>144780</xdr:rowOff>
    </xdr:from>
    <xdr:ext cx="662940" cy="673100"/>
    <xdr:pic>
      <xdr:nvPicPr>
        <xdr:cNvPr id="70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1780" y="56088280"/>
          <a:ext cx="662940" cy="673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30480</xdr:colOff>
      <xdr:row>540</xdr:row>
      <xdr:rowOff>144780</xdr:rowOff>
    </xdr:from>
    <xdr:ext cx="662940" cy="693420"/>
    <xdr:pic>
      <xdr:nvPicPr>
        <xdr:cNvPr id="71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37480" y="56088280"/>
          <a:ext cx="662940" cy="6934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30480</xdr:colOff>
      <xdr:row>576</xdr:row>
      <xdr:rowOff>144780</xdr:rowOff>
    </xdr:from>
    <xdr:ext cx="662940" cy="673100"/>
    <xdr:pic>
      <xdr:nvPicPr>
        <xdr:cNvPr id="72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1780" y="63047880"/>
          <a:ext cx="662940" cy="673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30480</xdr:colOff>
      <xdr:row>576</xdr:row>
      <xdr:rowOff>144780</xdr:rowOff>
    </xdr:from>
    <xdr:ext cx="662940" cy="693420"/>
    <xdr:pic>
      <xdr:nvPicPr>
        <xdr:cNvPr id="73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37480" y="63047880"/>
          <a:ext cx="662940" cy="6934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30480</xdr:colOff>
      <xdr:row>576</xdr:row>
      <xdr:rowOff>144780</xdr:rowOff>
    </xdr:from>
    <xdr:ext cx="662940" cy="673100"/>
    <xdr:pic>
      <xdr:nvPicPr>
        <xdr:cNvPr id="74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1780" y="63047880"/>
          <a:ext cx="662940" cy="673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30480</xdr:colOff>
      <xdr:row>576</xdr:row>
      <xdr:rowOff>144780</xdr:rowOff>
    </xdr:from>
    <xdr:ext cx="662940" cy="693420"/>
    <xdr:pic>
      <xdr:nvPicPr>
        <xdr:cNvPr id="75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37480" y="63047880"/>
          <a:ext cx="662940" cy="6934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30480</xdr:colOff>
      <xdr:row>612</xdr:row>
      <xdr:rowOff>144780</xdr:rowOff>
    </xdr:from>
    <xdr:ext cx="662940" cy="673100"/>
    <xdr:pic>
      <xdr:nvPicPr>
        <xdr:cNvPr id="76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1780" y="70007480"/>
          <a:ext cx="662940" cy="673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30480</xdr:colOff>
      <xdr:row>612</xdr:row>
      <xdr:rowOff>144780</xdr:rowOff>
    </xdr:from>
    <xdr:ext cx="662940" cy="693420"/>
    <xdr:pic>
      <xdr:nvPicPr>
        <xdr:cNvPr id="77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37480" y="70007480"/>
          <a:ext cx="662940" cy="6934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30480</xdr:colOff>
      <xdr:row>612</xdr:row>
      <xdr:rowOff>144780</xdr:rowOff>
    </xdr:from>
    <xdr:ext cx="662940" cy="673100"/>
    <xdr:pic>
      <xdr:nvPicPr>
        <xdr:cNvPr id="78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1780" y="70007480"/>
          <a:ext cx="662940" cy="673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30480</xdr:colOff>
      <xdr:row>612</xdr:row>
      <xdr:rowOff>144780</xdr:rowOff>
    </xdr:from>
    <xdr:ext cx="662940" cy="693420"/>
    <xdr:pic>
      <xdr:nvPicPr>
        <xdr:cNvPr id="79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37480" y="70007480"/>
          <a:ext cx="662940" cy="6934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30480</xdr:colOff>
      <xdr:row>648</xdr:row>
      <xdr:rowOff>144780</xdr:rowOff>
    </xdr:from>
    <xdr:ext cx="662940" cy="673100"/>
    <xdr:pic>
      <xdr:nvPicPr>
        <xdr:cNvPr id="80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1780" y="118724680"/>
          <a:ext cx="662940" cy="673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30480</xdr:colOff>
      <xdr:row>648</xdr:row>
      <xdr:rowOff>144780</xdr:rowOff>
    </xdr:from>
    <xdr:ext cx="662940" cy="693420"/>
    <xdr:pic>
      <xdr:nvPicPr>
        <xdr:cNvPr id="81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37480" y="118724680"/>
          <a:ext cx="662940" cy="6934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30480</xdr:colOff>
      <xdr:row>648</xdr:row>
      <xdr:rowOff>144780</xdr:rowOff>
    </xdr:from>
    <xdr:ext cx="662940" cy="673100"/>
    <xdr:pic>
      <xdr:nvPicPr>
        <xdr:cNvPr id="82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1780" y="118724680"/>
          <a:ext cx="662940" cy="673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30480</xdr:colOff>
      <xdr:row>648</xdr:row>
      <xdr:rowOff>144780</xdr:rowOff>
    </xdr:from>
    <xdr:ext cx="662940" cy="693420"/>
    <xdr:pic>
      <xdr:nvPicPr>
        <xdr:cNvPr id="83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37480" y="118724680"/>
          <a:ext cx="662940" cy="6934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30480</xdr:colOff>
      <xdr:row>684</xdr:row>
      <xdr:rowOff>144780</xdr:rowOff>
    </xdr:from>
    <xdr:ext cx="662940" cy="673100"/>
    <xdr:pic>
      <xdr:nvPicPr>
        <xdr:cNvPr id="84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1780" y="125684280"/>
          <a:ext cx="662940" cy="673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30480</xdr:colOff>
      <xdr:row>684</xdr:row>
      <xdr:rowOff>144780</xdr:rowOff>
    </xdr:from>
    <xdr:ext cx="662940" cy="693420"/>
    <xdr:pic>
      <xdr:nvPicPr>
        <xdr:cNvPr id="85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37480" y="125684280"/>
          <a:ext cx="662940" cy="6934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30480</xdr:colOff>
      <xdr:row>684</xdr:row>
      <xdr:rowOff>144780</xdr:rowOff>
    </xdr:from>
    <xdr:ext cx="662940" cy="673100"/>
    <xdr:pic>
      <xdr:nvPicPr>
        <xdr:cNvPr id="86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1780" y="125684280"/>
          <a:ext cx="662940" cy="673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30480</xdr:colOff>
      <xdr:row>684</xdr:row>
      <xdr:rowOff>144780</xdr:rowOff>
    </xdr:from>
    <xdr:ext cx="662940" cy="693420"/>
    <xdr:pic>
      <xdr:nvPicPr>
        <xdr:cNvPr id="87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37480" y="125684280"/>
          <a:ext cx="662940" cy="6934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30480</xdr:colOff>
      <xdr:row>720</xdr:row>
      <xdr:rowOff>144780</xdr:rowOff>
    </xdr:from>
    <xdr:ext cx="662940" cy="673100"/>
    <xdr:pic>
      <xdr:nvPicPr>
        <xdr:cNvPr id="88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1780" y="132643880"/>
          <a:ext cx="662940" cy="673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30480</xdr:colOff>
      <xdr:row>720</xdr:row>
      <xdr:rowOff>144780</xdr:rowOff>
    </xdr:from>
    <xdr:ext cx="662940" cy="693420"/>
    <xdr:pic>
      <xdr:nvPicPr>
        <xdr:cNvPr id="89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37480" y="132643880"/>
          <a:ext cx="662940" cy="6934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30480</xdr:colOff>
      <xdr:row>720</xdr:row>
      <xdr:rowOff>144780</xdr:rowOff>
    </xdr:from>
    <xdr:ext cx="662940" cy="673100"/>
    <xdr:pic>
      <xdr:nvPicPr>
        <xdr:cNvPr id="90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1780" y="132643880"/>
          <a:ext cx="662940" cy="673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30480</xdr:colOff>
      <xdr:row>720</xdr:row>
      <xdr:rowOff>144780</xdr:rowOff>
    </xdr:from>
    <xdr:ext cx="662940" cy="693420"/>
    <xdr:pic>
      <xdr:nvPicPr>
        <xdr:cNvPr id="91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37480" y="132643880"/>
          <a:ext cx="662940" cy="6934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30480</xdr:colOff>
      <xdr:row>756</xdr:row>
      <xdr:rowOff>144780</xdr:rowOff>
    </xdr:from>
    <xdr:ext cx="662940" cy="673100"/>
    <xdr:pic>
      <xdr:nvPicPr>
        <xdr:cNvPr id="92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1780" y="139603480"/>
          <a:ext cx="662940" cy="673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30480</xdr:colOff>
      <xdr:row>756</xdr:row>
      <xdr:rowOff>144780</xdr:rowOff>
    </xdr:from>
    <xdr:ext cx="662940" cy="693420"/>
    <xdr:pic>
      <xdr:nvPicPr>
        <xdr:cNvPr id="93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37480" y="139603480"/>
          <a:ext cx="662940" cy="6934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30480</xdr:colOff>
      <xdr:row>756</xdr:row>
      <xdr:rowOff>144780</xdr:rowOff>
    </xdr:from>
    <xdr:ext cx="662940" cy="673100"/>
    <xdr:pic>
      <xdr:nvPicPr>
        <xdr:cNvPr id="94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1780" y="139603480"/>
          <a:ext cx="662940" cy="673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30480</xdr:colOff>
      <xdr:row>756</xdr:row>
      <xdr:rowOff>144780</xdr:rowOff>
    </xdr:from>
    <xdr:ext cx="662940" cy="693420"/>
    <xdr:pic>
      <xdr:nvPicPr>
        <xdr:cNvPr id="95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37480" y="139603480"/>
          <a:ext cx="662940" cy="6934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799</xdr:row>
      <xdr:rowOff>0</xdr:rowOff>
    </xdr:from>
    <xdr:ext cx="662940" cy="673100"/>
    <xdr:pic>
      <xdr:nvPicPr>
        <xdr:cNvPr id="96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4819" y="158344518"/>
          <a:ext cx="662940" cy="673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799</xdr:row>
      <xdr:rowOff>0</xdr:rowOff>
    </xdr:from>
    <xdr:ext cx="662940" cy="673100"/>
    <xdr:pic>
      <xdr:nvPicPr>
        <xdr:cNvPr id="97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94217" y="158344518"/>
          <a:ext cx="662940" cy="673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AF53"/>
  <sheetViews>
    <sheetView topLeftCell="A26" workbookViewId="0">
      <selection activeCell="C29" sqref="C29"/>
    </sheetView>
  </sheetViews>
  <sheetFormatPr defaultRowHeight="14.5" x14ac:dyDescent="0.35"/>
  <cols>
    <col min="2" max="2" width="4.54296875" bestFit="1" customWidth="1"/>
    <col min="3" max="3" width="32.7265625" customWidth="1"/>
    <col min="4" max="4" width="9.81640625" customWidth="1"/>
    <col min="5" max="5" width="9.7265625" customWidth="1"/>
    <col min="6" max="6" width="5.26953125" customWidth="1"/>
    <col min="7" max="7" width="8.26953125" style="1" customWidth="1"/>
    <col min="8" max="8" width="11.1796875" customWidth="1"/>
    <col min="9" max="9" width="9.1796875" style="1" customWidth="1"/>
    <col min="10" max="10" width="3.54296875" customWidth="1"/>
    <col min="11" max="11" width="7.81640625" style="1" customWidth="1"/>
    <col min="12" max="12" width="3.7265625" hidden="1" customWidth="1"/>
    <col min="13" max="13" width="8.81640625" style="1" customWidth="1"/>
    <col min="14" max="14" width="3.81640625" hidden="1" customWidth="1"/>
    <col min="15" max="15" width="8" style="1" customWidth="1"/>
    <col min="16" max="16" width="11" customWidth="1"/>
    <col min="17" max="17" width="9.1796875" bestFit="1" customWidth="1"/>
    <col min="18" max="18" width="8.7265625" style="1" customWidth="1"/>
    <col min="19" max="19" width="8.54296875" customWidth="1"/>
    <col min="20" max="20" width="6" bestFit="1" customWidth="1"/>
    <col min="21" max="21" width="6" style="1" bestFit="1" customWidth="1"/>
    <col min="22" max="22" width="6" bestFit="1" customWidth="1"/>
    <col min="23" max="23" width="8.54296875" bestFit="1" customWidth="1"/>
    <col min="24" max="24" width="6" style="1" bestFit="1" customWidth="1"/>
    <col min="25" max="26" width="6" bestFit="1" customWidth="1"/>
    <col min="27" max="27" width="6" style="1" bestFit="1" customWidth="1"/>
    <col min="28" max="28" width="11.1796875" style="1" bestFit="1" customWidth="1"/>
    <col min="29" max="29" width="9.54296875" bestFit="1" customWidth="1"/>
    <col min="30" max="30" width="8" bestFit="1" customWidth="1"/>
    <col min="31" max="31" width="9.54296875" bestFit="1" customWidth="1"/>
    <col min="32" max="32" width="16.453125" style="2" bestFit="1" customWidth="1"/>
    <col min="252" max="252" width="4.54296875" bestFit="1" customWidth="1"/>
    <col min="253" max="253" width="34.7265625" customWidth="1"/>
    <col min="254" max="254" width="9.54296875" customWidth="1"/>
    <col min="255" max="255" width="9.453125" customWidth="1"/>
    <col min="256" max="256" width="7" customWidth="1"/>
    <col min="257" max="258" width="6" customWidth="1"/>
    <col min="259" max="259" width="7.453125" customWidth="1"/>
    <col min="260" max="261" width="6" customWidth="1"/>
    <col min="262" max="262" width="8.26953125" customWidth="1"/>
    <col min="263" max="264" width="6" customWidth="1"/>
    <col min="265" max="265" width="7.81640625" customWidth="1"/>
    <col min="266" max="267" width="6" customWidth="1"/>
    <col min="268" max="268" width="8.26953125" customWidth="1"/>
    <col min="269" max="278" width="6" bestFit="1" customWidth="1"/>
    <col min="279" max="279" width="8.54296875" bestFit="1" customWidth="1"/>
    <col min="280" max="283" width="6" bestFit="1" customWidth="1"/>
    <col min="284" max="284" width="11.1796875" bestFit="1" customWidth="1"/>
    <col min="285" max="285" width="9.54296875" bestFit="1" customWidth="1"/>
    <col min="286" max="286" width="8" bestFit="1" customWidth="1"/>
    <col min="287" max="287" width="9.54296875" bestFit="1" customWidth="1"/>
    <col min="288" max="288" width="16.453125" bestFit="1" customWidth="1"/>
    <col min="508" max="508" width="4.54296875" bestFit="1" customWidth="1"/>
    <col min="509" max="509" width="34.7265625" customWidth="1"/>
    <col min="510" max="510" width="9.54296875" customWidth="1"/>
    <col min="511" max="511" width="9.453125" customWidth="1"/>
    <col min="512" max="512" width="7" customWidth="1"/>
    <col min="513" max="514" width="6" customWidth="1"/>
    <col min="515" max="515" width="7.453125" customWidth="1"/>
    <col min="516" max="517" width="6" customWidth="1"/>
    <col min="518" max="518" width="8.26953125" customWidth="1"/>
    <col min="519" max="520" width="6" customWidth="1"/>
    <col min="521" max="521" width="7.81640625" customWidth="1"/>
    <col min="522" max="523" width="6" customWidth="1"/>
    <col min="524" max="524" width="8.26953125" customWidth="1"/>
    <col min="525" max="534" width="6" bestFit="1" customWidth="1"/>
    <col min="535" max="535" width="8.54296875" bestFit="1" customWidth="1"/>
    <col min="536" max="539" width="6" bestFit="1" customWidth="1"/>
    <col min="540" max="540" width="11.1796875" bestFit="1" customWidth="1"/>
    <col min="541" max="541" width="9.54296875" bestFit="1" customWidth="1"/>
    <col min="542" max="542" width="8" bestFit="1" customWidth="1"/>
    <col min="543" max="543" width="9.54296875" bestFit="1" customWidth="1"/>
    <col min="544" max="544" width="16.453125" bestFit="1" customWidth="1"/>
    <col min="764" max="764" width="4.54296875" bestFit="1" customWidth="1"/>
    <col min="765" max="765" width="34.7265625" customWidth="1"/>
    <col min="766" max="766" width="9.54296875" customWidth="1"/>
    <col min="767" max="767" width="9.453125" customWidth="1"/>
    <col min="768" max="768" width="7" customWidth="1"/>
    <col min="769" max="770" width="6" customWidth="1"/>
    <col min="771" max="771" width="7.453125" customWidth="1"/>
    <col min="772" max="773" width="6" customWidth="1"/>
    <col min="774" max="774" width="8.26953125" customWidth="1"/>
    <col min="775" max="776" width="6" customWidth="1"/>
    <col min="777" max="777" width="7.81640625" customWidth="1"/>
    <col min="778" max="779" width="6" customWidth="1"/>
    <col min="780" max="780" width="8.26953125" customWidth="1"/>
    <col min="781" max="790" width="6" bestFit="1" customWidth="1"/>
    <col min="791" max="791" width="8.54296875" bestFit="1" customWidth="1"/>
    <col min="792" max="795" width="6" bestFit="1" customWidth="1"/>
    <col min="796" max="796" width="11.1796875" bestFit="1" customWidth="1"/>
    <col min="797" max="797" width="9.54296875" bestFit="1" customWidth="1"/>
    <col min="798" max="798" width="8" bestFit="1" customWidth="1"/>
    <col min="799" max="799" width="9.54296875" bestFit="1" customWidth="1"/>
    <col min="800" max="800" width="16.453125" bestFit="1" customWidth="1"/>
    <col min="1020" max="1020" width="4.54296875" bestFit="1" customWidth="1"/>
    <col min="1021" max="1021" width="34.7265625" customWidth="1"/>
    <col min="1022" max="1022" width="9.54296875" customWidth="1"/>
    <col min="1023" max="1023" width="9.453125" customWidth="1"/>
    <col min="1024" max="1024" width="7" customWidth="1"/>
    <col min="1025" max="1026" width="6" customWidth="1"/>
    <col min="1027" max="1027" width="7.453125" customWidth="1"/>
    <col min="1028" max="1029" width="6" customWidth="1"/>
    <col min="1030" max="1030" width="8.26953125" customWidth="1"/>
    <col min="1031" max="1032" width="6" customWidth="1"/>
    <col min="1033" max="1033" width="7.81640625" customWidth="1"/>
    <col min="1034" max="1035" width="6" customWidth="1"/>
    <col min="1036" max="1036" width="8.26953125" customWidth="1"/>
    <col min="1037" max="1046" width="6" bestFit="1" customWidth="1"/>
    <col min="1047" max="1047" width="8.54296875" bestFit="1" customWidth="1"/>
    <col min="1048" max="1051" width="6" bestFit="1" customWidth="1"/>
    <col min="1052" max="1052" width="11.1796875" bestFit="1" customWidth="1"/>
    <col min="1053" max="1053" width="9.54296875" bestFit="1" customWidth="1"/>
    <col min="1054" max="1054" width="8" bestFit="1" customWidth="1"/>
    <col min="1055" max="1055" width="9.54296875" bestFit="1" customWidth="1"/>
    <col min="1056" max="1056" width="16.453125" bestFit="1" customWidth="1"/>
    <col min="1276" max="1276" width="4.54296875" bestFit="1" customWidth="1"/>
    <col min="1277" max="1277" width="34.7265625" customWidth="1"/>
    <col min="1278" max="1278" width="9.54296875" customWidth="1"/>
    <col min="1279" max="1279" width="9.453125" customWidth="1"/>
    <col min="1280" max="1280" width="7" customWidth="1"/>
    <col min="1281" max="1282" width="6" customWidth="1"/>
    <col min="1283" max="1283" width="7.453125" customWidth="1"/>
    <col min="1284" max="1285" width="6" customWidth="1"/>
    <col min="1286" max="1286" width="8.26953125" customWidth="1"/>
    <col min="1287" max="1288" width="6" customWidth="1"/>
    <col min="1289" max="1289" width="7.81640625" customWidth="1"/>
    <col min="1290" max="1291" width="6" customWidth="1"/>
    <col min="1292" max="1292" width="8.26953125" customWidth="1"/>
    <col min="1293" max="1302" width="6" bestFit="1" customWidth="1"/>
    <col min="1303" max="1303" width="8.54296875" bestFit="1" customWidth="1"/>
    <col min="1304" max="1307" width="6" bestFit="1" customWidth="1"/>
    <col min="1308" max="1308" width="11.1796875" bestFit="1" customWidth="1"/>
    <col min="1309" max="1309" width="9.54296875" bestFit="1" customWidth="1"/>
    <col min="1310" max="1310" width="8" bestFit="1" customWidth="1"/>
    <col min="1311" max="1311" width="9.54296875" bestFit="1" customWidth="1"/>
    <col min="1312" max="1312" width="16.453125" bestFit="1" customWidth="1"/>
    <col min="1532" max="1532" width="4.54296875" bestFit="1" customWidth="1"/>
    <col min="1533" max="1533" width="34.7265625" customWidth="1"/>
    <col min="1534" max="1534" width="9.54296875" customWidth="1"/>
    <col min="1535" max="1535" width="9.453125" customWidth="1"/>
    <col min="1536" max="1536" width="7" customWidth="1"/>
    <col min="1537" max="1538" width="6" customWidth="1"/>
    <col min="1539" max="1539" width="7.453125" customWidth="1"/>
    <col min="1540" max="1541" width="6" customWidth="1"/>
    <col min="1542" max="1542" width="8.26953125" customWidth="1"/>
    <col min="1543" max="1544" width="6" customWidth="1"/>
    <col min="1545" max="1545" width="7.81640625" customWidth="1"/>
    <col min="1546" max="1547" width="6" customWidth="1"/>
    <col min="1548" max="1548" width="8.26953125" customWidth="1"/>
    <col min="1549" max="1558" width="6" bestFit="1" customWidth="1"/>
    <col min="1559" max="1559" width="8.54296875" bestFit="1" customWidth="1"/>
    <col min="1560" max="1563" width="6" bestFit="1" customWidth="1"/>
    <col min="1564" max="1564" width="11.1796875" bestFit="1" customWidth="1"/>
    <col min="1565" max="1565" width="9.54296875" bestFit="1" customWidth="1"/>
    <col min="1566" max="1566" width="8" bestFit="1" customWidth="1"/>
    <col min="1567" max="1567" width="9.54296875" bestFit="1" customWidth="1"/>
    <col min="1568" max="1568" width="16.453125" bestFit="1" customWidth="1"/>
    <col min="1788" max="1788" width="4.54296875" bestFit="1" customWidth="1"/>
    <col min="1789" max="1789" width="34.7265625" customWidth="1"/>
    <col min="1790" max="1790" width="9.54296875" customWidth="1"/>
    <col min="1791" max="1791" width="9.453125" customWidth="1"/>
    <col min="1792" max="1792" width="7" customWidth="1"/>
    <col min="1793" max="1794" width="6" customWidth="1"/>
    <col min="1795" max="1795" width="7.453125" customWidth="1"/>
    <col min="1796" max="1797" width="6" customWidth="1"/>
    <col min="1798" max="1798" width="8.26953125" customWidth="1"/>
    <col min="1799" max="1800" width="6" customWidth="1"/>
    <col min="1801" max="1801" width="7.81640625" customWidth="1"/>
    <col min="1802" max="1803" width="6" customWidth="1"/>
    <col min="1804" max="1804" width="8.26953125" customWidth="1"/>
    <col min="1805" max="1814" width="6" bestFit="1" customWidth="1"/>
    <col min="1815" max="1815" width="8.54296875" bestFit="1" customWidth="1"/>
    <col min="1816" max="1819" width="6" bestFit="1" customWidth="1"/>
    <col min="1820" max="1820" width="11.1796875" bestFit="1" customWidth="1"/>
    <col min="1821" max="1821" width="9.54296875" bestFit="1" customWidth="1"/>
    <col min="1822" max="1822" width="8" bestFit="1" customWidth="1"/>
    <col min="1823" max="1823" width="9.54296875" bestFit="1" customWidth="1"/>
    <col min="1824" max="1824" width="16.453125" bestFit="1" customWidth="1"/>
    <col min="2044" max="2044" width="4.54296875" bestFit="1" customWidth="1"/>
    <col min="2045" max="2045" width="34.7265625" customWidth="1"/>
    <col min="2046" max="2046" width="9.54296875" customWidth="1"/>
    <col min="2047" max="2047" width="9.453125" customWidth="1"/>
    <col min="2048" max="2048" width="7" customWidth="1"/>
    <col min="2049" max="2050" width="6" customWidth="1"/>
    <col min="2051" max="2051" width="7.453125" customWidth="1"/>
    <col min="2052" max="2053" width="6" customWidth="1"/>
    <col min="2054" max="2054" width="8.26953125" customWidth="1"/>
    <col min="2055" max="2056" width="6" customWidth="1"/>
    <col min="2057" max="2057" width="7.81640625" customWidth="1"/>
    <col min="2058" max="2059" width="6" customWidth="1"/>
    <col min="2060" max="2060" width="8.26953125" customWidth="1"/>
    <col min="2061" max="2070" width="6" bestFit="1" customWidth="1"/>
    <col min="2071" max="2071" width="8.54296875" bestFit="1" customWidth="1"/>
    <col min="2072" max="2075" width="6" bestFit="1" customWidth="1"/>
    <col min="2076" max="2076" width="11.1796875" bestFit="1" customWidth="1"/>
    <col min="2077" max="2077" width="9.54296875" bestFit="1" customWidth="1"/>
    <col min="2078" max="2078" width="8" bestFit="1" customWidth="1"/>
    <col min="2079" max="2079" width="9.54296875" bestFit="1" customWidth="1"/>
    <col min="2080" max="2080" width="16.453125" bestFit="1" customWidth="1"/>
    <col min="2300" max="2300" width="4.54296875" bestFit="1" customWidth="1"/>
    <col min="2301" max="2301" width="34.7265625" customWidth="1"/>
    <col min="2302" max="2302" width="9.54296875" customWidth="1"/>
    <col min="2303" max="2303" width="9.453125" customWidth="1"/>
    <col min="2304" max="2304" width="7" customWidth="1"/>
    <col min="2305" max="2306" width="6" customWidth="1"/>
    <col min="2307" max="2307" width="7.453125" customWidth="1"/>
    <col min="2308" max="2309" width="6" customWidth="1"/>
    <col min="2310" max="2310" width="8.26953125" customWidth="1"/>
    <col min="2311" max="2312" width="6" customWidth="1"/>
    <col min="2313" max="2313" width="7.81640625" customWidth="1"/>
    <col min="2314" max="2315" width="6" customWidth="1"/>
    <col min="2316" max="2316" width="8.26953125" customWidth="1"/>
    <col min="2317" max="2326" width="6" bestFit="1" customWidth="1"/>
    <col min="2327" max="2327" width="8.54296875" bestFit="1" customWidth="1"/>
    <col min="2328" max="2331" width="6" bestFit="1" customWidth="1"/>
    <col min="2332" max="2332" width="11.1796875" bestFit="1" customWidth="1"/>
    <col min="2333" max="2333" width="9.54296875" bestFit="1" customWidth="1"/>
    <col min="2334" max="2334" width="8" bestFit="1" customWidth="1"/>
    <col min="2335" max="2335" width="9.54296875" bestFit="1" customWidth="1"/>
    <col min="2336" max="2336" width="16.453125" bestFit="1" customWidth="1"/>
    <col min="2556" max="2556" width="4.54296875" bestFit="1" customWidth="1"/>
    <col min="2557" max="2557" width="34.7265625" customWidth="1"/>
    <col min="2558" max="2558" width="9.54296875" customWidth="1"/>
    <col min="2559" max="2559" width="9.453125" customWidth="1"/>
    <col min="2560" max="2560" width="7" customWidth="1"/>
    <col min="2561" max="2562" width="6" customWidth="1"/>
    <col min="2563" max="2563" width="7.453125" customWidth="1"/>
    <col min="2564" max="2565" width="6" customWidth="1"/>
    <col min="2566" max="2566" width="8.26953125" customWidth="1"/>
    <col min="2567" max="2568" width="6" customWidth="1"/>
    <col min="2569" max="2569" width="7.81640625" customWidth="1"/>
    <col min="2570" max="2571" width="6" customWidth="1"/>
    <col min="2572" max="2572" width="8.26953125" customWidth="1"/>
    <col min="2573" max="2582" width="6" bestFit="1" customWidth="1"/>
    <col min="2583" max="2583" width="8.54296875" bestFit="1" customWidth="1"/>
    <col min="2584" max="2587" width="6" bestFit="1" customWidth="1"/>
    <col min="2588" max="2588" width="11.1796875" bestFit="1" customWidth="1"/>
    <col min="2589" max="2589" width="9.54296875" bestFit="1" customWidth="1"/>
    <col min="2590" max="2590" width="8" bestFit="1" customWidth="1"/>
    <col min="2591" max="2591" width="9.54296875" bestFit="1" customWidth="1"/>
    <col min="2592" max="2592" width="16.453125" bestFit="1" customWidth="1"/>
    <col min="2812" max="2812" width="4.54296875" bestFit="1" customWidth="1"/>
    <col min="2813" max="2813" width="34.7265625" customWidth="1"/>
    <col min="2814" max="2814" width="9.54296875" customWidth="1"/>
    <col min="2815" max="2815" width="9.453125" customWidth="1"/>
    <col min="2816" max="2816" width="7" customWidth="1"/>
    <col min="2817" max="2818" width="6" customWidth="1"/>
    <col min="2819" max="2819" width="7.453125" customWidth="1"/>
    <col min="2820" max="2821" width="6" customWidth="1"/>
    <col min="2822" max="2822" width="8.26953125" customWidth="1"/>
    <col min="2823" max="2824" width="6" customWidth="1"/>
    <col min="2825" max="2825" width="7.81640625" customWidth="1"/>
    <col min="2826" max="2827" width="6" customWidth="1"/>
    <col min="2828" max="2828" width="8.26953125" customWidth="1"/>
    <col min="2829" max="2838" width="6" bestFit="1" customWidth="1"/>
    <col min="2839" max="2839" width="8.54296875" bestFit="1" customWidth="1"/>
    <col min="2840" max="2843" width="6" bestFit="1" customWidth="1"/>
    <col min="2844" max="2844" width="11.1796875" bestFit="1" customWidth="1"/>
    <col min="2845" max="2845" width="9.54296875" bestFit="1" customWidth="1"/>
    <col min="2846" max="2846" width="8" bestFit="1" customWidth="1"/>
    <col min="2847" max="2847" width="9.54296875" bestFit="1" customWidth="1"/>
    <col min="2848" max="2848" width="16.453125" bestFit="1" customWidth="1"/>
    <col min="3068" max="3068" width="4.54296875" bestFit="1" customWidth="1"/>
    <col min="3069" max="3069" width="34.7265625" customWidth="1"/>
    <col min="3070" max="3070" width="9.54296875" customWidth="1"/>
    <col min="3071" max="3071" width="9.453125" customWidth="1"/>
    <col min="3072" max="3072" width="7" customWidth="1"/>
    <col min="3073" max="3074" width="6" customWidth="1"/>
    <col min="3075" max="3075" width="7.453125" customWidth="1"/>
    <col min="3076" max="3077" width="6" customWidth="1"/>
    <col min="3078" max="3078" width="8.26953125" customWidth="1"/>
    <col min="3079" max="3080" width="6" customWidth="1"/>
    <col min="3081" max="3081" width="7.81640625" customWidth="1"/>
    <col min="3082" max="3083" width="6" customWidth="1"/>
    <col min="3084" max="3084" width="8.26953125" customWidth="1"/>
    <col min="3085" max="3094" width="6" bestFit="1" customWidth="1"/>
    <col min="3095" max="3095" width="8.54296875" bestFit="1" customWidth="1"/>
    <col min="3096" max="3099" width="6" bestFit="1" customWidth="1"/>
    <col min="3100" max="3100" width="11.1796875" bestFit="1" customWidth="1"/>
    <col min="3101" max="3101" width="9.54296875" bestFit="1" customWidth="1"/>
    <col min="3102" max="3102" width="8" bestFit="1" customWidth="1"/>
    <col min="3103" max="3103" width="9.54296875" bestFit="1" customWidth="1"/>
    <col min="3104" max="3104" width="16.453125" bestFit="1" customWidth="1"/>
    <col min="3324" max="3324" width="4.54296875" bestFit="1" customWidth="1"/>
    <col min="3325" max="3325" width="34.7265625" customWidth="1"/>
    <col min="3326" max="3326" width="9.54296875" customWidth="1"/>
    <col min="3327" max="3327" width="9.453125" customWidth="1"/>
    <col min="3328" max="3328" width="7" customWidth="1"/>
    <col min="3329" max="3330" width="6" customWidth="1"/>
    <col min="3331" max="3331" width="7.453125" customWidth="1"/>
    <col min="3332" max="3333" width="6" customWidth="1"/>
    <col min="3334" max="3334" width="8.26953125" customWidth="1"/>
    <col min="3335" max="3336" width="6" customWidth="1"/>
    <col min="3337" max="3337" width="7.81640625" customWidth="1"/>
    <col min="3338" max="3339" width="6" customWidth="1"/>
    <col min="3340" max="3340" width="8.26953125" customWidth="1"/>
    <col min="3341" max="3350" width="6" bestFit="1" customWidth="1"/>
    <col min="3351" max="3351" width="8.54296875" bestFit="1" customWidth="1"/>
    <col min="3352" max="3355" width="6" bestFit="1" customWidth="1"/>
    <col min="3356" max="3356" width="11.1796875" bestFit="1" customWidth="1"/>
    <col min="3357" max="3357" width="9.54296875" bestFit="1" customWidth="1"/>
    <col min="3358" max="3358" width="8" bestFit="1" customWidth="1"/>
    <col min="3359" max="3359" width="9.54296875" bestFit="1" customWidth="1"/>
    <col min="3360" max="3360" width="16.453125" bestFit="1" customWidth="1"/>
    <col min="3580" max="3580" width="4.54296875" bestFit="1" customWidth="1"/>
    <col min="3581" max="3581" width="34.7265625" customWidth="1"/>
    <col min="3582" max="3582" width="9.54296875" customWidth="1"/>
    <col min="3583" max="3583" width="9.453125" customWidth="1"/>
    <col min="3584" max="3584" width="7" customWidth="1"/>
    <col min="3585" max="3586" width="6" customWidth="1"/>
    <col min="3587" max="3587" width="7.453125" customWidth="1"/>
    <col min="3588" max="3589" width="6" customWidth="1"/>
    <col min="3590" max="3590" width="8.26953125" customWidth="1"/>
    <col min="3591" max="3592" width="6" customWidth="1"/>
    <col min="3593" max="3593" width="7.81640625" customWidth="1"/>
    <col min="3594" max="3595" width="6" customWidth="1"/>
    <col min="3596" max="3596" width="8.26953125" customWidth="1"/>
    <col min="3597" max="3606" width="6" bestFit="1" customWidth="1"/>
    <col min="3607" max="3607" width="8.54296875" bestFit="1" customWidth="1"/>
    <col min="3608" max="3611" width="6" bestFit="1" customWidth="1"/>
    <col min="3612" max="3612" width="11.1796875" bestFit="1" customWidth="1"/>
    <col min="3613" max="3613" width="9.54296875" bestFit="1" customWidth="1"/>
    <col min="3614" max="3614" width="8" bestFit="1" customWidth="1"/>
    <col min="3615" max="3615" width="9.54296875" bestFit="1" customWidth="1"/>
    <col min="3616" max="3616" width="16.453125" bestFit="1" customWidth="1"/>
    <col min="3836" max="3836" width="4.54296875" bestFit="1" customWidth="1"/>
    <col min="3837" max="3837" width="34.7265625" customWidth="1"/>
    <col min="3838" max="3838" width="9.54296875" customWidth="1"/>
    <col min="3839" max="3839" width="9.453125" customWidth="1"/>
    <col min="3840" max="3840" width="7" customWidth="1"/>
    <col min="3841" max="3842" width="6" customWidth="1"/>
    <col min="3843" max="3843" width="7.453125" customWidth="1"/>
    <col min="3844" max="3845" width="6" customWidth="1"/>
    <col min="3846" max="3846" width="8.26953125" customWidth="1"/>
    <col min="3847" max="3848" width="6" customWidth="1"/>
    <col min="3849" max="3849" width="7.81640625" customWidth="1"/>
    <col min="3850" max="3851" width="6" customWidth="1"/>
    <col min="3852" max="3852" width="8.26953125" customWidth="1"/>
    <col min="3853" max="3862" width="6" bestFit="1" customWidth="1"/>
    <col min="3863" max="3863" width="8.54296875" bestFit="1" customWidth="1"/>
    <col min="3864" max="3867" width="6" bestFit="1" customWidth="1"/>
    <col min="3868" max="3868" width="11.1796875" bestFit="1" customWidth="1"/>
    <col min="3869" max="3869" width="9.54296875" bestFit="1" customWidth="1"/>
    <col min="3870" max="3870" width="8" bestFit="1" customWidth="1"/>
    <col min="3871" max="3871" width="9.54296875" bestFit="1" customWidth="1"/>
    <col min="3872" max="3872" width="16.453125" bestFit="1" customWidth="1"/>
    <col min="4092" max="4092" width="4.54296875" bestFit="1" customWidth="1"/>
    <col min="4093" max="4093" width="34.7265625" customWidth="1"/>
    <col min="4094" max="4094" width="9.54296875" customWidth="1"/>
    <col min="4095" max="4095" width="9.453125" customWidth="1"/>
    <col min="4096" max="4096" width="7" customWidth="1"/>
    <col min="4097" max="4098" width="6" customWidth="1"/>
    <col min="4099" max="4099" width="7.453125" customWidth="1"/>
    <col min="4100" max="4101" width="6" customWidth="1"/>
    <col min="4102" max="4102" width="8.26953125" customWidth="1"/>
    <col min="4103" max="4104" width="6" customWidth="1"/>
    <col min="4105" max="4105" width="7.81640625" customWidth="1"/>
    <col min="4106" max="4107" width="6" customWidth="1"/>
    <col min="4108" max="4108" width="8.26953125" customWidth="1"/>
    <col min="4109" max="4118" width="6" bestFit="1" customWidth="1"/>
    <col min="4119" max="4119" width="8.54296875" bestFit="1" customWidth="1"/>
    <col min="4120" max="4123" width="6" bestFit="1" customWidth="1"/>
    <col min="4124" max="4124" width="11.1796875" bestFit="1" customWidth="1"/>
    <col min="4125" max="4125" width="9.54296875" bestFit="1" customWidth="1"/>
    <col min="4126" max="4126" width="8" bestFit="1" customWidth="1"/>
    <col min="4127" max="4127" width="9.54296875" bestFit="1" customWidth="1"/>
    <col min="4128" max="4128" width="16.453125" bestFit="1" customWidth="1"/>
    <col min="4348" max="4348" width="4.54296875" bestFit="1" customWidth="1"/>
    <col min="4349" max="4349" width="34.7265625" customWidth="1"/>
    <col min="4350" max="4350" width="9.54296875" customWidth="1"/>
    <col min="4351" max="4351" width="9.453125" customWidth="1"/>
    <col min="4352" max="4352" width="7" customWidth="1"/>
    <col min="4353" max="4354" width="6" customWidth="1"/>
    <col min="4355" max="4355" width="7.453125" customWidth="1"/>
    <col min="4356" max="4357" width="6" customWidth="1"/>
    <col min="4358" max="4358" width="8.26953125" customWidth="1"/>
    <col min="4359" max="4360" width="6" customWidth="1"/>
    <col min="4361" max="4361" width="7.81640625" customWidth="1"/>
    <col min="4362" max="4363" width="6" customWidth="1"/>
    <col min="4364" max="4364" width="8.26953125" customWidth="1"/>
    <col min="4365" max="4374" width="6" bestFit="1" customWidth="1"/>
    <col min="4375" max="4375" width="8.54296875" bestFit="1" customWidth="1"/>
    <col min="4376" max="4379" width="6" bestFit="1" customWidth="1"/>
    <col min="4380" max="4380" width="11.1796875" bestFit="1" customWidth="1"/>
    <col min="4381" max="4381" width="9.54296875" bestFit="1" customWidth="1"/>
    <col min="4382" max="4382" width="8" bestFit="1" customWidth="1"/>
    <col min="4383" max="4383" width="9.54296875" bestFit="1" customWidth="1"/>
    <col min="4384" max="4384" width="16.453125" bestFit="1" customWidth="1"/>
    <col min="4604" max="4604" width="4.54296875" bestFit="1" customWidth="1"/>
    <col min="4605" max="4605" width="34.7265625" customWidth="1"/>
    <col min="4606" max="4606" width="9.54296875" customWidth="1"/>
    <col min="4607" max="4607" width="9.453125" customWidth="1"/>
    <col min="4608" max="4608" width="7" customWidth="1"/>
    <col min="4609" max="4610" width="6" customWidth="1"/>
    <col min="4611" max="4611" width="7.453125" customWidth="1"/>
    <col min="4612" max="4613" width="6" customWidth="1"/>
    <col min="4614" max="4614" width="8.26953125" customWidth="1"/>
    <col min="4615" max="4616" width="6" customWidth="1"/>
    <col min="4617" max="4617" width="7.81640625" customWidth="1"/>
    <col min="4618" max="4619" width="6" customWidth="1"/>
    <col min="4620" max="4620" width="8.26953125" customWidth="1"/>
    <col min="4621" max="4630" width="6" bestFit="1" customWidth="1"/>
    <col min="4631" max="4631" width="8.54296875" bestFit="1" customWidth="1"/>
    <col min="4632" max="4635" width="6" bestFit="1" customWidth="1"/>
    <col min="4636" max="4636" width="11.1796875" bestFit="1" customWidth="1"/>
    <col min="4637" max="4637" width="9.54296875" bestFit="1" customWidth="1"/>
    <col min="4638" max="4638" width="8" bestFit="1" customWidth="1"/>
    <col min="4639" max="4639" width="9.54296875" bestFit="1" customWidth="1"/>
    <col min="4640" max="4640" width="16.453125" bestFit="1" customWidth="1"/>
    <col min="4860" max="4860" width="4.54296875" bestFit="1" customWidth="1"/>
    <col min="4861" max="4861" width="34.7265625" customWidth="1"/>
    <col min="4862" max="4862" width="9.54296875" customWidth="1"/>
    <col min="4863" max="4863" width="9.453125" customWidth="1"/>
    <col min="4864" max="4864" width="7" customWidth="1"/>
    <col min="4865" max="4866" width="6" customWidth="1"/>
    <col min="4867" max="4867" width="7.453125" customWidth="1"/>
    <col min="4868" max="4869" width="6" customWidth="1"/>
    <col min="4870" max="4870" width="8.26953125" customWidth="1"/>
    <col min="4871" max="4872" width="6" customWidth="1"/>
    <col min="4873" max="4873" width="7.81640625" customWidth="1"/>
    <col min="4874" max="4875" width="6" customWidth="1"/>
    <col min="4876" max="4876" width="8.26953125" customWidth="1"/>
    <col min="4877" max="4886" width="6" bestFit="1" customWidth="1"/>
    <col min="4887" max="4887" width="8.54296875" bestFit="1" customWidth="1"/>
    <col min="4888" max="4891" width="6" bestFit="1" customWidth="1"/>
    <col min="4892" max="4892" width="11.1796875" bestFit="1" customWidth="1"/>
    <col min="4893" max="4893" width="9.54296875" bestFit="1" customWidth="1"/>
    <col min="4894" max="4894" width="8" bestFit="1" customWidth="1"/>
    <col min="4895" max="4895" width="9.54296875" bestFit="1" customWidth="1"/>
    <col min="4896" max="4896" width="16.453125" bestFit="1" customWidth="1"/>
    <col min="5116" max="5116" width="4.54296875" bestFit="1" customWidth="1"/>
    <col min="5117" max="5117" width="34.7265625" customWidth="1"/>
    <col min="5118" max="5118" width="9.54296875" customWidth="1"/>
    <col min="5119" max="5119" width="9.453125" customWidth="1"/>
    <col min="5120" max="5120" width="7" customWidth="1"/>
    <col min="5121" max="5122" width="6" customWidth="1"/>
    <col min="5123" max="5123" width="7.453125" customWidth="1"/>
    <col min="5124" max="5125" width="6" customWidth="1"/>
    <col min="5126" max="5126" width="8.26953125" customWidth="1"/>
    <col min="5127" max="5128" width="6" customWidth="1"/>
    <col min="5129" max="5129" width="7.81640625" customWidth="1"/>
    <col min="5130" max="5131" width="6" customWidth="1"/>
    <col min="5132" max="5132" width="8.26953125" customWidth="1"/>
    <col min="5133" max="5142" width="6" bestFit="1" customWidth="1"/>
    <col min="5143" max="5143" width="8.54296875" bestFit="1" customWidth="1"/>
    <col min="5144" max="5147" width="6" bestFit="1" customWidth="1"/>
    <col min="5148" max="5148" width="11.1796875" bestFit="1" customWidth="1"/>
    <col min="5149" max="5149" width="9.54296875" bestFit="1" customWidth="1"/>
    <col min="5150" max="5150" width="8" bestFit="1" customWidth="1"/>
    <col min="5151" max="5151" width="9.54296875" bestFit="1" customWidth="1"/>
    <col min="5152" max="5152" width="16.453125" bestFit="1" customWidth="1"/>
    <col min="5372" max="5372" width="4.54296875" bestFit="1" customWidth="1"/>
    <col min="5373" max="5373" width="34.7265625" customWidth="1"/>
    <col min="5374" max="5374" width="9.54296875" customWidth="1"/>
    <col min="5375" max="5375" width="9.453125" customWidth="1"/>
    <col min="5376" max="5376" width="7" customWidth="1"/>
    <col min="5377" max="5378" width="6" customWidth="1"/>
    <col min="5379" max="5379" width="7.453125" customWidth="1"/>
    <col min="5380" max="5381" width="6" customWidth="1"/>
    <col min="5382" max="5382" width="8.26953125" customWidth="1"/>
    <col min="5383" max="5384" width="6" customWidth="1"/>
    <col min="5385" max="5385" width="7.81640625" customWidth="1"/>
    <col min="5386" max="5387" width="6" customWidth="1"/>
    <col min="5388" max="5388" width="8.26953125" customWidth="1"/>
    <col min="5389" max="5398" width="6" bestFit="1" customWidth="1"/>
    <col min="5399" max="5399" width="8.54296875" bestFit="1" customWidth="1"/>
    <col min="5400" max="5403" width="6" bestFit="1" customWidth="1"/>
    <col min="5404" max="5404" width="11.1796875" bestFit="1" customWidth="1"/>
    <col min="5405" max="5405" width="9.54296875" bestFit="1" customWidth="1"/>
    <col min="5406" max="5406" width="8" bestFit="1" customWidth="1"/>
    <col min="5407" max="5407" width="9.54296875" bestFit="1" customWidth="1"/>
    <col min="5408" max="5408" width="16.453125" bestFit="1" customWidth="1"/>
    <col min="5628" max="5628" width="4.54296875" bestFit="1" customWidth="1"/>
    <col min="5629" max="5629" width="34.7265625" customWidth="1"/>
    <col min="5630" max="5630" width="9.54296875" customWidth="1"/>
    <col min="5631" max="5631" width="9.453125" customWidth="1"/>
    <col min="5632" max="5632" width="7" customWidth="1"/>
    <col min="5633" max="5634" width="6" customWidth="1"/>
    <col min="5635" max="5635" width="7.453125" customWidth="1"/>
    <col min="5636" max="5637" width="6" customWidth="1"/>
    <col min="5638" max="5638" width="8.26953125" customWidth="1"/>
    <col min="5639" max="5640" width="6" customWidth="1"/>
    <col min="5641" max="5641" width="7.81640625" customWidth="1"/>
    <col min="5642" max="5643" width="6" customWidth="1"/>
    <col min="5644" max="5644" width="8.26953125" customWidth="1"/>
    <col min="5645" max="5654" width="6" bestFit="1" customWidth="1"/>
    <col min="5655" max="5655" width="8.54296875" bestFit="1" customWidth="1"/>
    <col min="5656" max="5659" width="6" bestFit="1" customWidth="1"/>
    <col min="5660" max="5660" width="11.1796875" bestFit="1" customWidth="1"/>
    <col min="5661" max="5661" width="9.54296875" bestFit="1" customWidth="1"/>
    <col min="5662" max="5662" width="8" bestFit="1" customWidth="1"/>
    <col min="5663" max="5663" width="9.54296875" bestFit="1" customWidth="1"/>
    <col min="5664" max="5664" width="16.453125" bestFit="1" customWidth="1"/>
    <col min="5884" max="5884" width="4.54296875" bestFit="1" customWidth="1"/>
    <col min="5885" max="5885" width="34.7265625" customWidth="1"/>
    <col min="5886" max="5886" width="9.54296875" customWidth="1"/>
    <col min="5887" max="5887" width="9.453125" customWidth="1"/>
    <col min="5888" max="5888" width="7" customWidth="1"/>
    <col min="5889" max="5890" width="6" customWidth="1"/>
    <col min="5891" max="5891" width="7.453125" customWidth="1"/>
    <col min="5892" max="5893" width="6" customWidth="1"/>
    <col min="5894" max="5894" width="8.26953125" customWidth="1"/>
    <col min="5895" max="5896" width="6" customWidth="1"/>
    <col min="5897" max="5897" width="7.81640625" customWidth="1"/>
    <col min="5898" max="5899" width="6" customWidth="1"/>
    <col min="5900" max="5900" width="8.26953125" customWidth="1"/>
    <col min="5901" max="5910" width="6" bestFit="1" customWidth="1"/>
    <col min="5911" max="5911" width="8.54296875" bestFit="1" customWidth="1"/>
    <col min="5912" max="5915" width="6" bestFit="1" customWidth="1"/>
    <col min="5916" max="5916" width="11.1796875" bestFit="1" customWidth="1"/>
    <col min="5917" max="5917" width="9.54296875" bestFit="1" customWidth="1"/>
    <col min="5918" max="5918" width="8" bestFit="1" customWidth="1"/>
    <col min="5919" max="5919" width="9.54296875" bestFit="1" customWidth="1"/>
    <col min="5920" max="5920" width="16.453125" bestFit="1" customWidth="1"/>
    <col min="6140" max="6140" width="4.54296875" bestFit="1" customWidth="1"/>
    <col min="6141" max="6141" width="34.7265625" customWidth="1"/>
    <col min="6142" max="6142" width="9.54296875" customWidth="1"/>
    <col min="6143" max="6143" width="9.453125" customWidth="1"/>
    <col min="6144" max="6144" width="7" customWidth="1"/>
    <col min="6145" max="6146" width="6" customWidth="1"/>
    <col min="6147" max="6147" width="7.453125" customWidth="1"/>
    <col min="6148" max="6149" width="6" customWidth="1"/>
    <col min="6150" max="6150" width="8.26953125" customWidth="1"/>
    <col min="6151" max="6152" width="6" customWidth="1"/>
    <col min="6153" max="6153" width="7.81640625" customWidth="1"/>
    <col min="6154" max="6155" width="6" customWidth="1"/>
    <col min="6156" max="6156" width="8.26953125" customWidth="1"/>
    <col min="6157" max="6166" width="6" bestFit="1" customWidth="1"/>
    <col min="6167" max="6167" width="8.54296875" bestFit="1" customWidth="1"/>
    <col min="6168" max="6171" width="6" bestFit="1" customWidth="1"/>
    <col min="6172" max="6172" width="11.1796875" bestFit="1" customWidth="1"/>
    <col min="6173" max="6173" width="9.54296875" bestFit="1" customWidth="1"/>
    <col min="6174" max="6174" width="8" bestFit="1" customWidth="1"/>
    <col min="6175" max="6175" width="9.54296875" bestFit="1" customWidth="1"/>
    <col min="6176" max="6176" width="16.453125" bestFit="1" customWidth="1"/>
    <col min="6396" max="6396" width="4.54296875" bestFit="1" customWidth="1"/>
    <col min="6397" max="6397" width="34.7265625" customWidth="1"/>
    <col min="6398" max="6398" width="9.54296875" customWidth="1"/>
    <col min="6399" max="6399" width="9.453125" customWidth="1"/>
    <col min="6400" max="6400" width="7" customWidth="1"/>
    <col min="6401" max="6402" width="6" customWidth="1"/>
    <col min="6403" max="6403" width="7.453125" customWidth="1"/>
    <col min="6404" max="6405" width="6" customWidth="1"/>
    <col min="6406" max="6406" width="8.26953125" customWidth="1"/>
    <col min="6407" max="6408" width="6" customWidth="1"/>
    <col min="6409" max="6409" width="7.81640625" customWidth="1"/>
    <col min="6410" max="6411" width="6" customWidth="1"/>
    <col min="6412" max="6412" width="8.26953125" customWidth="1"/>
    <col min="6413" max="6422" width="6" bestFit="1" customWidth="1"/>
    <col min="6423" max="6423" width="8.54296875" bestFit="1" customWidth="1"/>
    <col min="6424" max="6427" width="6" bestFit="1" customWidth="1"/>
    <col min="6428" max="6428" width="11.1796875" bestFit="1" customWidth="1"/>
    <col min="6429" max="6429" width="9.54296875" bestFit="1" customWidth="1"/>
    <col min="6430" max="6430" width="8" bestFit="1" customWidth="1"/>
    <col min="6431" max="6431" width="9.54296875" bestFit="1" customWidth="1"/>
    <col min="6432" max="6432" width="16.453125" bestFit="1" customWidth="1"/>
    <col min="6652" max="6652" width="4.54296875" bestFit="1" customWidth="1"/>
    <col min="6653" max="6653" width="34.7265625" customWidth="1"/>
    <col min="6654" max="6654" width="9.54296875" customWidth="1"/>
    <col min="6655" max="6655" width="9.453125" customWidth="1"/>
    <col min="6656" max="6656" width="7" customWidth="1"/>
    <col min="6657" max="6658" width="6" customWidth="1"/>
    <col min="6659" max="6659" width="7.453125" customWidth="1"/>
    <col min="6660" max="6661" width="6" customWidth="1"/>
    <col min="6662" max="6662" width="8.26953125" customWidth="1"/>
    <col min="6663" max="6664" width="6" customWidth="1"/>
    <col min="6665" max="6665" width="7.81640625" customWidth="1"/>
    <col min="6666" max="6667" width="6" customWidth="1"/>
    <col min="6668" max="6668" width="8.26953125" customWidth="1"/>
    <col min="6669" max="6678" width="6" bestFit="1" customWidth="1"/>
    <col min="6679" max="6679" width="8.54296875" bestFit="1" customWidth="1"/>
    <col min="6680" max="6683" width="6" bestFit="1" customWidth="1"/>
    <col min="6684" max="6684" width="11.1796875" bestFit="1" customWidth="1"/>
    <col min="6685" max="6685" width="9.54296875" bestFit="1" customWidth="1"/>
    <col min="6686" max="6686" width="8" bestFit="1" customWidth="1"/>
    <col min="6687" max="6687" width="9.54296875" bestFit="1" customWidth="1"/>
    <col min="6688" max="6688" width="16.453125" bestFit="1" customWidth="1"/>
    <col min="6908" max="6908" width="4.54296875" bestFit="1" customWidth="1"/>
    <col min="6909" max="6909" width="34.7265625" customWidth="1"/>
    <col min="6910" max="6910" width="9.54296875" customWidth="1"/>
    <col min="6911" max="6911" width="9.453125" customWidth="1"/>
    <col min="6912" max="6912" width="7" customWidth="1"/>
    <col min="6913" max="6914" width="6" customWidth="1"/>
    <col min="6915" max="6915" width="7.453125" customWidth="1"/>
    <col min="6916" max="6917" width="6" customWidth="1"/>
    <col min="6918" max="6918" width="8.26953125" customWidth="1"/>
    <col min="6919" max="6920" width="6" customWidth="1"/>
    <col min="6921" max="6921" width="7.81640625" customWidth="1"/>
    <col min="6922" max="6923" width="6" customWidth="1"/>
    <col min="6924" max="6924" width="8.26953125" customWidth="1"/>
    <col min="6925" max="6934" width="6" bestFit="1" customWidth="1"/>
    <col min="6935" max="6935" width="8.54296875" bestFit="1" customWidth="1"/>
    <col min="6936" max="6939" width="6" bestFit="1" customWidth="1"/>
    <col min="6940" max="6940" width="11.1796875" bestFit="1" customWidth="1"/>
    <col min="6941" max="6941" width="9.54296875" bestFit="1" customWidth="1"/>
    <col min="6942" max="6942" width="8" bestFit="1" customWidth="1"/>
    <col min="6943" max="6943" width="9.54296875" bestFit="1" customWidth="1"/>
    <col min="6944" max="6944" width="16.453125" bestFit="1" customWidth="1"/>
    <col min="7164" max="7164" width="4.54296875" bestFit="1" customWidth="1"/>
    <col min="7165" max="7165" width="34.7265625" customWidth="1"/>
    <col min="7166" max="7166" width="9.54296875" customWidth="1"/>
    <col min="7167" max="7167" width="9.453125" customWidth="1"/>
    <col min="7168" max="7168" width="7" customWidth="1"/>
    <col min="7169" max="7170" width="6" customWidth="1"/>
    <col min="7171" max="7171" width="7.453125" customWidth="1"/>
    <col min="7172" max="7173" width="6" customWidth="1"/>
    <col min="7174" max="7174" width="8.26953125" customWidth="1"/>
    <col min="7175" max="7176" width="6" customWidth="1"/>
    <col min="7177" max="7177" width="7.81640625" customWidth="1"/>
    <col min="7178" max="7179" width="6" customWidth="1"/>
    <col min="7180" max="7180" width="8.26953125" customWidth="1"/>
    <col min="7181" max="7190" width="6" bestFit="1" customWidth="1"/>
    <col min="7191" max="7191" width="8.54296875" bestFit="1" customWidth="1"/>
    <col min="7192" max="7195" width="6" bestFit="1" customWidth="1"/>
    <col min="7196" max="7196" width="11.1796875" bestFit="1" customWidth="1"/>
    <col min="7197" max="7197" width="9.54296875" bestFit="1" customWidth="1"/>
    <col min="7198" max="7198" width="8" bestFit="1" customWidth="1"/>
    <col min="7199" max="7199" width="9.54296875" bestFit="1" customWidth="1"/>
    <col min="7200" max="7200" width="16.453125" bestFit="1" customWidth="1"/>
    <col min="7420" max="7420" width="4.54296875" bestFit="1" customWidth="1"/>
    <col min="7421" max="7421" width="34.7265625" customWidth="1"/>
    <col min="7422" max="7422" width="9.54296875" customWidth="1"/>
    <col min="7423" max="7423" width="9.453125" customWidth="1"/>
    <col min="7424" max="7424" width="7" customWidth="1"/>
    <col min="7425" max="7426" width="6" customWidth="1"/>
    <col min="7427" max="7427" width="7.453125" customWidth="1"/>
    <col min="7428" max="7429" width="6" customWidth="1"/>
    <col min="7430" max="7430" width="8.26953125" customWidth="1"/>
    <col min="7431" max="7432" width="6" customWidth="1"/>
    <col min="7433" max="7433" width="7.81640625" customWidth="1"/>
    <col min="7434" max="7435" width="6" customWidth="1"/>
    <col min="7436" max="7436" width="8.26953125" customWidth="1"/>
    <col min="7437" max="7446" width="6" bestFit="1" customWidth="1"/>
    <col min="7447" max="7447" width="8.54296875" bestFit="1" customWidth="1"/>
    <col min="7448" max="7451" width="6" bestFit="1" customWidth="1"/>
    <col min="7452" max="7452" width="11.1796875" bestFit="1" customWidth="1"/>
    <col min="7453" max="7453" width="9.54296875" bestFit="1" customWidth="1"/>
    <col min="7454" max="7454" width="8" bestFit="1" customWidth="1"/>
    <col min="7455" max="7455" width="9.54296875" bestFit="1" customWidth="1"/>
    <col min="7456" max="7456" width="16.453125" bestFit="1" customWidth="1"/>
    <col min="7676" max="7676" width="4.54296875" bestFit="1" customWidth="1"/>
    <col min="7677" max="7677" width="34.7265625" customWidth="1"/>
    <col min="7678" max="7678" width="9.54296875" customWidth="1"/>
    <col min="7679" max="7679" width="9.453125" customWidth="1"/>
    <col min="7680" max="7680" width="7" customWidth="1"/>
    <col min="7681" max="7682" width="6" customWidth="1"/>
    <col min="7683" max="7683" width="7.453125" customWidth="1"/>
    <col min="7684" max="7685" width="6" customWidth="1"/>
    <col min="7686" max="7686" width="8.26953125" customWidth="1"/>
    <col min="7687" max="7688" width="6" customWidth="1"/>
    <col min="7689" max="7689" width="7.81640625" customWidth="1"/>
    <col min="7690" max="7691" width="6" customWidth="1"/>
    <col min="7692" max="7692" width="8.26953125" customWidth="1"/>
    <col min="7693" max="7702" width="6" bestFit="1" customWidth="1"/>
    <col min="7703" max="7703" width="8.54296875" bestFit="1" customWidth="1"/>
    <col min="7704" max="7707" width="6" bestFit="1" customWidth="1"/>
    <col min="7708" max="7708" width="11.1796875" bestFit="1" customWidth="1"/>
    <col min="7709" max="7709" width="9.54296875" bestFit="1" customWidth="1"/>
    <col min="7710" max="7710" width="8" bestFit="1" customWidth="1"/>
    <col min="7711" max="7711" width="9.54296875" bestFit="1" customWidth="1"/>
    <col min="7712" max="7712" width="16.453125" bestFit="1" customWidth="1"/>
    <col min="7932" max="7932" width="4.54296875" bestFit="1" customWidth="1"/>
    <col min="7933" max="7933" width="34.7265625" customWidth="1"/>
    <col min="7934" max="7934" width="9.54296875" customWidth="1"/>
    <col min="7935" max="7935" width="9.453125" customWidth="1"/>
    <col min="7936" max="7936" width="7" customWidth="1"/>
    <col min="7937" max="7938" width="6" customWidth="1"/>
    <col min="7939" max="7939" width="7.453125" customWidth="1"/>
    <col min="7940" max="7941" width="6" customWidth="1"/>
    <col min="7942" max="7942" width="8.26953125" customWidth="1"/>
    <col min="7943" max="7944" width="6" customWidth="1"/>
    <col min="7945" max="7945" width="7.81640625" customWidth="1"/>
    <col min="7946" max="7947" width="6" customWidth="1"/>
    <col min="7948" max="7948" width="8.26953125" customWidth="1"/>
    <col min="7949" max="7958" width="6" bestFit="1" customWidth="1"/>
    <col min="7959" max="7959" width="8.54296875" bestFit="1" customWidth="1"/>
    <col min="7960" max="7963" width="6" bestFit="1" customWidth="1"/>
    <col min="7964" max="7964" width="11.1796875" bestFit="1" customWidth="1"/>
    <col min="7965" max="7965" width="9.54296875" bestFit="1" customWidth="1"/>
    <col min="7966" max="7966" width="8" bestFit="1" customWidth="1"/>
    <col min="7967" max="7967" width="9.54296875" bestFit="1" customWidth="1"/>
    <col min="7968" max="7968" width="16.453125" bestFit="1" customWidth="1"/>
    <col min="8188" max="8188" width="4.54296875" bestFit="1" customWidth="1"/>
    <col min="8189" max="8189" width="34.7265625" customWidth="1"/>
    <col min="8190" max="8190" width="9.54296875" customWidth="1"/>
    <col min="8191" max="8191" width="9.453125" customWidth="1"/>
    <col min="8192" max="8192" width="7" customWidth="1"/>
    <col min="8193" max="8194" width="6" customWidth="1"/>
    <col min="8195" max="8195" width="7.453125" customWidth="1"/>
    <col min="8196" max="8197" width="6" customWidth="1"/>
    <col min="8198" max="8198" width="8.26953125" customWidth="1"/>
    <col min="8199" max="8200" width="6" customWidth="1"/>
    <col min="8201" max="8201" width="7.81640625" customWidth="1"/>
    <col min="8202" max="8203" width="6" customWidth="1"/>
    <col min="8204" max="8204" width="8.26953125" customWidth="1"/>
    <col min="8205" max="8214" width="6" bestFit="1" customWidth="1"/>
    <col min="8215" max="8215" width="8.54296875" bestFit="1" customWidth="1"/>
    <col min="8216" max="8219" width="6" bestFit="1" customWidth="1"/>
    <col min="8220" max="8220" width="11.1796875" bestFit="1" customWidth="1"/>
    <col min="8221" max="8221" width="9.54296875" bestFit="1" customWidth="1"/>
    <col min="8222" max="8222" width="8" bestFit="1" customWidth="1"/>
    <col min="8223" max="8223" width="9.54296875" bestFit="1" customWidth="1"/>
    <col min="8224" max="8224" width="16.453125" bestFit="1" customWidth="1"/>
    <col min="8444" max="8444" width="4.54296875" bestFit="1" customWidth="1"/>
    <col min="8445" max="8445" width="34.7265625" customWidth="1"/>
    <col min="8446" max="8446" width="9.54296875" customWidth="1"/>
    <col min="8447" max="8447" width="9.453125" customWidth="1"/>
    <col min="8448" max="8448" width="7" customWidth="1"/>
    <col min="8449" max="8450" width="6" customWidth="1"/>
    <col min="8451" max="8451" width="7.453125" customWidth="1"/>
    <col min="8452" max="8453" width="6" customWidth="1"/>
    <col min="8454" max="8454" width="8.26953125" customWidth="1"/>
    <col min="8455" max="8456" width="6" customWidth="1"/>
    <col min="8457" max="8457" width="7.81640625" customWidth="1"/>
    <col min="8458" max="8459" width="6" customWidth="1"/>
    <col min="8460" max="8460" width="8.26953125" customWidth="1"/>
    <col min="8461" max="8470" width="6" bestFit="1" customWidth="1"/>
    <col min="8471" max="8471" width="8.54296875" bestFit="1" customWidth="1"/>
    <col min="8472" max="8475" width="6" bestFit="1" customWidth="1"/>
    <col min="8476" max="8476" width="11.1796875" bestFit="1" customWidth="1"/>
    <col min="8477" max="8477" width="9.54296875" bestFit="1" customWidth="1"/>
    <col min="8478" max="8478" width="8" bestFit="1" customWidth="1"/>
    <col min="8479" max="8479" width="9.54296875" bestFit="1" customWidth="1"/>
    <col min="8480" max="8480" width="16.453125" bestFit="1" customWidth="1"/>
    <col min="8700" max="8700" width="4.54296875" bestFit="1" customWidth="1"/>
    <col min="8701" max="8701" width="34.7265625" customWidth="1"/>
    <col min="8702" max="8702" width="9.54296875" customWidth="1"/>
    <col min="8703" max="8703" width="9.453125" customWidth="1"/>
    <col min="8704" max="8704" width="7" customWidth="1"/>
    <col min="8705" max="8706" width="6" customWidth="1"/>
    <col min="8707" max="8707" width="7.453125" customWidth="1"/>
    <col min="8708" max="8709" width="6" customWidth="1"/>
    <col min="8710" max="8710" width="8.26953125" customWidth="1"/>
    <col min="8711" max="8712" width="6" customWidth="1"/>
    <col min="8713" max="8713" width="7.81640625" customWidth="1"/>
    <col min="8714" max="8715" width="6" customWidth="1"/>
    <col min="8716" max="8716" width="8.26953125" customWidth="1"/>
    <col min="8717" max="8726" width="6" bestFit="1" customWidth="1"/>
    <col min="8727" max="8727" width="8.54296875" bestFit="1" customWidth="1"/>
    <col min="8728" max="8731" width="6" bestFit="1" customWidth="1"/>
    <col min="8732" max="8732" width="11.1796875" bestFit="1" customWidth="1"/>
    <col min="8733" max="8733" width="9.54296875" bestFit="1" customWidth="1"/>
    <col min="8734" max="8734" width="8" bestFit="1" customWidth="1"/>
    <col min="8735" max="8735" width="9.54296875" bestFit="1" customWidth="1"/>
    <col min="8736" max="8736" width="16.453125" bestFit="1" customWidth="1"/>
    <col min="8956" max="8956" width="4.54296875" bestFit="1" customWidth="1"/>
    <col min="8957" max="8957" width="34.7265625" customWidth="1"/>
    <col min="8958" max="8958" width="9.54296875" customWidth="1"/>
    <col min="8959" max="8959" width="9.453125" customWidth="1"/>
    <col min="8960" max="8960" width="7" customWidth="1"/>
    <col min="8961" max="8962" width="6" customWidth="1"/>
    <col min="8963" max="8963" width="7.453125" customWidth="1"/>
    <col min="8964" max="8965" width="6" customWidth="1"/>
    <col min="8966" max="8966" width="8.26953125" customWidth="1"/>
    <col min="8967" max="8968" width="6" customWidth="1"/>
    <col min="8969" max="8969" width="7.81640625" customWidth="1"/>
    <col min="8970" max="8971" width="6" customWidth="1"/>
    <col min="8972" max="8972" width="8.26953125" customWidth="1"/>
    <col min="8973" max="8982" width="6" bestFit="1" customWidth="1"/>
    <col min="8983" max="8983" width="8.54296875" bestFit="1" customWidth="1"/>
    <col min="8984" max="8987" width="6" bestFit="1" customWidth="1"/>
    <col min="8988" max="8988" width="11.1796875" bestFit="1" customWidth="1"/>
    <col min="8989" max="8989" width="9.54296875" bestFit="1" customWidth="1"/>
    <col min="8990" max="8990" width="8" bestFit="1" customWidth="1"/>
    <col min="8991" max="8991" width="9.54296875" bestFit="1" customWidth="1"/>
    <col min="8992" max="8992" width="16.453125" bestFit="1" customWidth="1"/>
    <col min="9212" max="9212" width="4.54296875" bestFit="1" customWidth="1"/>
    <col min="9213" max="9213" width="34.7265625" customWidth="1"/>
    <col min="9214" max="9214" width="9.54296875" customWidth="1"/>
    <col min="9215" max="9215" width="9.453125" customWidth="1"/>
    <col min="9216" max="9216" width="7" customWidth="1"/>
    <col min="9217" max="9218" width="6" customWidth="1"/>
    <col min="9219" max="9219" width="7.453125" customWidth="1"/>
    <col min="9220" max="9221" width="6" customWidth="1"/>
    <col min="9222" max="9222" width="8.26953125" customWidth="1"/>
    <col min="9223" max="9224" width="6" customWidth="1"/>
    <col min="9225" max="9225" width="7.81640625" customWidth="1"/>
    <col min="9226" max="9227" width="6" customWidth="1"/>
    <col min="9228" max="9228" width="8.26953125" customWidth="1"/>
    <col min="9229" max="9238" width="6" bestFit="1" customWidth="1"/>
    <col min="9239" max="9239" width="8.54296875" bestFit="1" customWidth="1"/>
    <col min="9240" max="9243" width="6" bestFit="1" customWidth="1"/>
    <col min="9244" max="9244" width="11.1796875" bestFit="1" customWidth="1"/>
    <col min="9245" max="9245" width="9.54296875" bestFit="1" customWidth="1"/>
    <col min="9246" max="9246" width="8" bestFit="1" customWidth="1"/>
    <col min="9247" max="9247" width="9.54296875" bestFit="1" customWidth="1"/>
    <col min="9248" max="9248" width="16.453125" bestFit="1" customWidth="1"/>
    <col min="9468" max="9468" width="4.54296875" bestFit="1" customWidth="1"/>
    <col min="9469" max="9469" width="34.7265625" customWidth="1"/>
    <col min="9470" max="9470" width="9.54296875" customWidth="1"/>
    <col min="9471" max="9471" width="9.453125" customWidth="1"/>
    <col min="9472" max="9472" width="7" customWidth="1"/>
    <col min="9473" max="9474" width="6" customWidth="1"/>
    <col min="9475" max="9475" width="7.453125" customWidth="1"/>
    <col min="9476" max="9477" width="6" customWidth="1"/>
    <col min="9478" max="9478" width="8.26953125" customWidth="1"/>
    <col min="9479" max="9480" width="6" customWidth="1"/>
    <col min="9481" max="9481" width="7.81640625" customWidth="1"/>
    <col min="9482" max="9483" width="6" customWidth="1"/>
    <col min="9484" max="9484" width="8.26953125" customWidth="1"/>
    <col min="9485" max="9494" width="6" bestFit="1" customWidth="1"/>
    <col min="9495" max="9495" width="8.54296875" bestFit="1" customWidth="1"/>
    <col min="9496" max="9499" width="6" bestFit="1" customWidth="1"/>
    <col min="9500" max="9500" width="11.1796875" bestFit="1" customWidth="1"/>
    <col min="9501" max="9501" width="9.54296875" bestFit="1" customWidth="1"/>
    <col min="9502" max="9502" width="8" bestFit="1" customWidth="1"/>
    <col min="9503" max="9503" width="9.54296875" bestFit="1" customWidth="1"/>
    <col min="9504" max="9504" width="16.453125" bestFit="1" customWidth="1"/>
    <col min="9724" max="9724" width="4.54296875" bestFit="1" customWidth="1"/>
    <col min="9725" max="9725" width="34.7265625" customWidth="1"/>
    <col min="9726" max="9726" width="9.54296875" customWidth="1"/>
    <col min="9727" max="9727" width="9.453125" customWidth="1"/>
    <col min="9728" max="9728" width="7" customWidth="1"/>
    <col min="9729" max="9730" width="6" customWidth="1"/>
    <col min="9731" max="9731" width="7.453125" customWidth="1"/>
    <col min="9732" max="9733" width="6" customWidth="1"/>
    <col min="9734" max="9734" width="8.26953125" customWidth="1"/>
    <col min="9735" max="9736" width="6" customWidth="1"/>
    <col min="9737" max="9737" width="7.81640625" customWidth="1"/>
    <col min="9738" max="9739" width="6" customWidth="1"/>
    <col min="9740" max="9740" width="8.26953125" customWidth="1"/>
    <col min="9741" max="9750" width="6" bestFit="1" customWidth="1"/>
    <col min="9751" max="9751" width="8.54296875" bestFit="1" customWidth="1"/>
    <col min="9752" max="9755" width="6" bestFit="1" customWidth="1"/>
    <col min="9756" max="9756" width="11.1796875" bestFit="1" customWidth="1"/>
    <col min="9757" max="9757" width="9.54296875" bestFit="1" customWidth="1"/>
    <col min="9758" max="9758" width="8" bestFit="1" customWidth="1"/>
    <col min="9759" max="9759" width="9.54296875" bestFit="1" customWidth="1"/>
    <col min="9760" max="9760" width="16.453125" bestFit="1" customWidth="1"/>
    <col min="9980" max="9980" width="4.54296875" bestFit="1" customWidth="1"/>
    <col min="9981" max="9981" width="34.7265625" customWidth="1"/>
    <col min="9982" max="9982" width="9.54296875" customWidth="1"/>
    <col min="9983" max="9983" width="9.453125" customWidth="1"/>
    <col min="9984" max="9984" width="7" customWidth="1"/>
    <col min="9985" max="9986" width="6" customWidth="1"/>
    <col min="9987" max="9987" width="7.453125" customWidth="1"/>
    <col min="9988" max="9989" width="6" customWidth="1"/>
    <col min="9990" max="9990" width="8.26953125" customWidth="1"/>
    <col min="9991" max="9992" width="6" customWidth="1"/>
    <col min="9993" max="9993" width="7.81640625" customWidth="1"/>
    <col min="9994" max="9995" width="6" customWidth="1"/>
    <col min="9996" max="9996" width="8.26953125" customWidth="1"/>
    <col min="9997" max="10006" width="6" bestFit="1" customWidth="1"/>
    <col min="10007" max="10007" width="8.54296875" bestFit="1" customWidth="1"/>
    <col min="10008" max="10011" width="6" bestFit="1" customWidth="1"/>
    <col min="10012" max="10012" width="11.1796875" bestFit="1" customWidth="1"/>
    <col min="10013" max="10013" width="9.54296875" bestFit="1" customWidth="1"/>
    <col min="10014" max="10014" width="8" bestFit="1" customWidth="1"/>
    <col min="10015" max="10015" width="9.54296875" bestFit="1" customWidth="1"/>
    <col min="10016" max="10016" width="16.453125" bestFit="1" customWidth="1"/>
    <col min="10236" max="10236" width="4.54296875" bestFit="1" customWidth="1"/>
    <col min="10237" max="10237" width="34.7265625" customWidth="1"/>
    <col min="10238" max="10238" width="9.54296875" customWidth="1"/>
    <col min="10239" max="10239" width="9.453125" customWidth="1"/>
    <col min="10240" max="10240" width="7" customWidth="1"/>
    <col min="10241" max="10242" width="6" customWidth="1"/>
    <col min="10243" max="10243" width="7.453125" customWidth="1"/>
    <col min="10244" max="10245" width="6" customWidth="1"/>
    <col min="10246" max="10246" width="8.26953125" customWidth="1"/>
    <col min="10247" max="10248" width="6" customWidth="1"/>
    <col min="10249" max="10249" width="7.81640625" customWidth="1"/>
    <col min="10250" max="10251" width="6" customWidth="1"/>
    <col min="10252" max="10252" width="8.26953125" customWidth="1"/>
    <col min="10253" max="10262" width="6" bestFit="1" customWidth="1"/>
    <col min="10263" max="10263" width="8.54296875" bestFit="1" customWidth="1"/>
    <col min="10264" max="10267" width="6" bestFit="1" customWidth="1"/>
    <col min="10268" max="10268" width="11.1796875" bestFit="1" customWidth="1"/>
    <col min="10269" max="10269" width="9.54296875" bestFit="1" customWidth="1"/>
    <col min="10270" max="10270" width="8" bestFit="1" customWidth="1"/>
    <col min="10271" max="10271" width="9.54296875" bestFit="1" customWidth="1"/>
    <col min="10272" max="10272" width="16.453125" bestFit="1" customWidth="1"/>
    <col min="10492" max="10492" width="4.54296875" bestFit="1" customWidth="1"/>
    <col min="10493" max="10493" width="34.7265625" customWidth="1"/>
    <col min="10494" max="10494" width="9.54296875" customWidth="1"/>
    <col min="10495" max="10495" width="9.453125" customWidth="1"/>
    <col min="10496" max="10496" width="7" customWidth="1"/>
    <col min="10497" max="10498" width="6" customWidth="1"/>
    <col min="10499" max="10499" width="7.453125" customWidth="1"/>
    <col min="10500" max="10501" width="6" customWidth="1"/>
    <col min="10502" max="10502" width="8.26953125" customWidth="1"/>
    <col min="10503" max="10504" width="6" customWidth="1"/>
    <col min="10505" max="10505" width="7.81640625" customWidth="1"/>
    <col min="10506" max="10507" width="6" customWidth="1"/>
    <col min="10508" max="10508" width="8.26953125" customWidth="1"/>
    <col min="10509" max="10518" width="6" bestFit="1" customWidth="1"/>
    <col min="10519" max="10519" width="8.54296875" bestFit="1" customWidth="1"/>
    <col min="10520" max="10523" width="6" bestFit="1" customWidth="1"/>
    <col min="10524" max="10524" width="11.1796875" bestFit="1" customWidth="1"/>
    <col min="10525" max="10525" width="9.54296875" bestFit="1" customWidth="1"/>
    <col min="10526" max="10526" width="8" bestFit="1" customWidth="1"/>
    <col min="10527" max="10527" width="9.54296875" bestFit="1" customWidth="1"/>
    <col min="10528" max="10528" width="16.453125" bestFit="1" customWidth="1"/>
    <col min="10748" max="10748" width="4.54296875" bestFit="1" customWidth="1"/>
    <col min="10749" max="10749" width="34.7265625" customWidth="1"/>
    <col min="10750" max="10750" width="9.54296875" customWidth="1"/>
    <col min="10751" max="10751" width="9.453125" customWidth="1"/>
    <col min="10752" max="10752" width="7" customWidth="1"/>
    <col min="10753" max="10754" width="6" customWidth="1"/>
    <col min="10755" max="10755" width="7.453125" customWidth="1"/>
    <col min="10756" max="10757" width="6" customWidth="1"/>
    <col min="10758" max="10758" width="8.26953125" customWidth="1"/>
    <col min="10759" max="10760" width="6" customWidth="1"/>
    <col min="10761" max="10761" width="7.81640625" customWidth="1"/>
    <col min="10762" max="10763" width="6" customWidth="1"/>
    <col min="10764" max="10764" width="8.26953125" customWidth="1"/>
    <col min="10765" max="10774" width="6" bestFit="1" customWidth="1"/>
    <col min="10775" max="10775" width="8.54296875" bestFit="1" customWidth="1"/>
    <col min="10776" max="10779" width="6" bestFit="1" customWidth="1"/>
    <col min="10780" max="10780" width="11.1796875" bestFit="1" customWidth="1"/>
    <col min="10781" max="10781" width="9.54296875" bestFit="1" customWidth="1"/>
    <col min="10782" max="10782" width="8" bestFit="1" customWidth="1"/>
    <col min="10783" max="10783" width="9.54296875" bestFit="1" customWidth="1"/>
    <col min="10784" max="10784" width="16.453125" bestFit="1" customWidth="1"/>
    <col min="11004" max="11004" width="4.54296875" bestFit="1" customWidth="1"/>
    <col min="11005" max="11005" width="34.7265625" customWidth="1"/>
    <col min="11006" max="11006" width="9.54296875" customWidth="1"/>
    <col min="11007" max="11007" width="9.453125" customWidth="1"/>
    <col min="11008" max="11008" width="7" customWidth="1"/>
    <col min="11009" max="11010" width="6" customWidth="1"/>
    <col min="11011" max="11011" width="7.453125" customWidth="1"/>
    <col min="11012" max="11013" width="6" customWidth="1"/>
    <col min="11014" max="11014" width="8.26953125" customWidth="1"/>
    <col min="11015" max="11016" width="6" customWidth="1"/>
    <col min="11017" max="11017" width="7.81640625" customWidth="1"/>
    <col min="11018" max="11019" width="6" customWidth="1"/>
    <col min="11020" max="11020" width="8.26953125" customWidth="1"/>
    <col min="11021" max="11030" width="6" bestFit="1" customWidth="1"/>
    <col min="11031" max="11031" width="8.54296875" bestFit="1" customWidth="1"/>
    <col min="11032" max="11035" width="6" bestFit="1" customWidth="1"/>
    <col min="11036" max="11036" width="11.1796875" bestFit="1" customWidth="1"/>
    <col min="11037" max="11037" width="9.54296875" bestFit="1" customWidth="1"/>
    <col min="11038" max="11038" width="8" bestFit="1" customWidth="1"/>
    <col min="11039" max="11039" width="9.54296875" bestFit="1" customWidth="1"/>
    <col min="11040" max="11040" width="16.453125" bestFit="1" customWidth="1"/>
    <col min="11260" max="11260" width="4.54296875" bestFit="1" customWidth="1"/>
    <col min="11261" max="11261" width="34.7265625" customWidth="1"/>
    <col min="11262" max="11262" width="9.54296875" customWidth="1"/>
    <col min="11263" max="11263" width="9.453125" customWidth="1"/>
    <col min="11264" max="11264" width="7" customWidth="1"/>
    <col min="11265" max="11266" width="6" customWidth="1"/>
    <col min="11267" max="11267" width="7.453125" customWidth="1"/>
    <col min="11268" max="11269" width="6" customWidth="1"/>
    <col min="11270" max="11270" width="8.26953125" customWidth="1"/>
    <col min="11271" max="11272" width="6" customWidth="1"/>
    <col min="11273" max="11273" width="7.81640625" customWidth="1"/>
    <col min="11274" max="11275" width="6" customWidth="1"/>
    <col min="11276" max="11276" width="8.26953125" customWidth="1"/>
    <col min="11277" max="11286" width="6" bestFit="1" customWidth="1"/>
    <col min="11287" max="11287" width="8.54296875" bestFit="1" customWidth="1"/>
    <col min="11288" max="11291" width="6" bestFit="1" customWidth="1"/>
    <col min="11292" max="11292" width="11.1796875" bestFit="1" customWidth="1"/>
    <col min="11293" max="11293" width="9.54296875" bestFit="1" customWidth="1"/>
    <col min="11294" max="11294" width="8" bestFit="1" customWidth="1"/>
    <col min="11295" max="11295" width="9.54296875" bestFit="1" customWidth="1"/>
    <col min="11296" max="11296" width="16.453125" bestFit="1" customWidth="1"/>
    <col min="11516" max="11516" width="4.54296875" bestFit="1" customWidth="1"/>
    <col min="11517" max="11517" width="34.7265625" customWidth="1"/>
    <col min="11518" max="11518" width="9.54296875" customWidth="1"/>
    <col min="11519" max="11519" width="9.453125" customWidth="1"/>
    <col min="11520" max="11520" width="7" customWidth="1"/>
    <col min="11521" max="11522" width="6" customWidth="1"/>
    <col min="11523" max="11523" width="7.453125" customWidth="1"/>
    <col min="11524" max="11525" width="6" customWidth="1"/>
    <col min="11526" max="11526" width="8.26953125" customWidth="1"/>
    <col min="11527" max="11528" width="6" customWidth="1"/>
    <col min="11529" max="11529" width="7.81640625" customWidth="1"/>
    <col min="11530" max="11531" width="6" customWidth="1"/>
    <col min="11532" max="11532" width="8.26953125" customWidth="1"/>
    <col min="11533" max="11542" width="6" bestFit="1" customWidth="1"/>
    <col min="11543" max="11543" width="8.54296875" bestFit="1" customWidth="1"/>
    <col min="11544" max="11547" width="6" bestFit="1" customWidth="1"/>
    <col min="11548" max="11548" width="11.1796875" bestFit="1" customWidth="1"/>
    <col min="11549" max="11549" width="9.54296875" bestFit="1" customWidth="1"/>
    <col min="11550" max="11550" width="8" bestFit="1" customWidth="1"/>
    <col min="11551" max="11551" width="9.54296875" bestFit="1" customWidth="1"/>
    <col min="11552" max="11552" width="16.453125" bestFit="1" customWidth="1"/>
    <col min="11772" max="11772" width="4.54296875" bestFit="1" customWidth="1"/>
    <col min="11773" max="11773" width="34.7265625" customWidth="1"/>
    <col min="11774" max="11774" width="9.54296875" customWidth="1"/>
    <col min="11775" max="11775" width="9.453125" customWidth="1"/>
    <col min="11776" max="11776" width="7" customWidth="1"/>
    <col min="11777" max="11778" width="6" customWidth="1"/>
    <col min="11779" max="11779" width="7.453125" customWidth="1"/>
    <col min="11780" max="11781" width="6" customWidth="1"/>
    <col min="11782" max="11782" width="8.26953125" customWidth="1"/>
    <col min="11783" max="11784" width="6" customWidth="1"/>
    <col min="11785" max="11785" width="7.81640625" customWidth="1"/>
    <col min="11786" max="11787" width="6" customWidth="1"/>
    <col min="11788" max="11788" width="8.26953125" customWidth="1"/>
    <col min="11789" max="11798" width="6" bestFit="1" customWidth="1"/>
    <col min="11799" max="11799" width="8.54296875" bestFit="1" customWidth="1"/>
    <col min="11800" max="11803" width="6" bestFit="1" customWidth="1"/>
    <col min="11804" max="11804" width="11.1796875" bestFit="1" customWidth="1"/>
    <col min="11805" max="11805" width="9.54296875" bestFit="1" customWidth="1"/>
    <col min="11806" max="11806" width="8" bestFit="1" customWidth="1"/>
    <col min="11807" max="11807" width="9.54296875" bestFit="1" customWidth="1"/>
    <col min="11808" max="11808" width="16.453125" bestFit="1" customWidth="1"/>
    <col min="12028" max="12028" width="4.54296875" bestFit="1" customWidth="1"/>
    <col min="12029" max="12029" width="34.7265625" customWidth="1"/>
    <col min="12030" max="12030" width="9.54296875" customWidth="1"/>
    <col min="12031" max="12031" width="9.453125" customWidth="1"/>
    <col min="12032" max="12032" width="7" customWidth="1"/>
    <col min="12033" max="12034" width="6" customWidth="1"/>
    <col min="12035" max="12035" width="7.453125" customWidth="1"/>
    <col min="12036" max="12037" width="6" customWidth="1"/>
    <col min="12038" max="12038" width="8.26953125" customWidth="1"/>
    <col min="12039" max="12040" width="6" customWidth="1"/>
    <col min="12041" max="12041" width="7.81640625" customWidth="1"/>
    <col min="12042" max="12043" width="6" customWidth="1"/>
    <col min="12044" max="12044" width="8.26953125" customWidth="1"/>
    <col min="12045" max="12054" width="6" bestFit="1" customWidth="1"/>
    <col min="12055" max="12055" width="8.54296875" bestFit="1" customWidth="1"/>
    <col min="12056" max="12059" width="6" bestFit="1" customWidth="1"/>
    <col min="12060" max="12060" width="11.1796875" bestFit="1" customWidth="1"/>
    <col min="12061" max="12061" width="9.54296875" bestFit="1" customWidth="1"/>
    <col min="12062" max="12062" width="8" bestFit="1" customWidth="1"/>
    <col min="12063" max="12063" width="9.54296875" bestFit="1" customWidth="1"/>
    <col min="12064" max="12064" width="16.453125" bestFit="1" customWidth="1"/>
    <col min="12284" max="12284" width="4.54296875" bestFit="1" customWidth="1"/>
    <col min="12285" max="12285" width="34.7265625" customWidth="1"/>
    <col min="12286" max="12286" width="9.54296875" customWidth="1"/>
    <col min="12287" max="12287" width="9.453125" customWidth="1"/>
    <col min="12288" max="12288" width="7" customWidth="1"/>
    <col min="12289" max="12290" width="6" customWidth="1"/>
    <col min="12291" max="12291" width="7.453125" customWidth="1"/>
    <col min="12292" max="12293" width="6" customWidth="1"/>
    <col min="12294" max="12294" width="8.26953125" customWidth="1"/>
    <col min="12295" max="12296" width="6" customWidth="1"/>
    <col min="12297" max="12297" width="7.81640625" customWidth="1"/>
    <col min="12298" max="12299" width="6" customWidth="1"/>
    <col min="12300" max="12300" width="8.26953125" customWidth="1"/>
    <col min="12301" max="12310" width="6" bestFit="1" customWidth="1"/>
    <col min="12311" max="12311" width="8.54296875" bestFit="1" customWidth="1"/>
    <col min="12312" max="12315" width="6" bestFit="1" customWidth="1"/>
    <col min="12316" max="12316" width="11.1796875" bestFit="1" customWidth="1"/>
    <col min="12317" max="12317" width="9.54296875" bestFit="1" customWidth="1"/>
    <col min="12318" max="12318" width="8" bestFit="1" customWidth="1"/>
    <col min="12319" max="12319" width="9.54296875" bestFit="1" customWidth="1"/>
    <col min="12320" max="12320" width="16.453125" bestFit="1" customWidth="1"/>
    <col min="12540" max="12540" width="4.54296875" bestFit="1" customWidth="1"/>
    <col min="12541" max="12541" width="34.7265625" customWidth="1"/>
    <col min="12542" max="12542" width="9.54296875" customWidth="1"/>
    <col min="12543" max="12543" width="9.453125" customWidth="1"/>
    <col min="12544" max="12544" width="7" customWidth="1"/>
    <col min="12545" max="12546" width="6" customWidth="1"/>
    <col min="12547" max="12547" width="7.453125" customWidth="1"/>
    <col min="12548" max="12549" width="6" customWidth="1"/>
    <col min="12550" max="12550" width="8.26953125" customWidth="1"/>
    <col min="12551" max="12552" width="6" customWidth="1"/>
    <col min="12553" max="12553" width="7.81640625" customWidth="1"/>
    <col min="12554" max="12555" width="6" customWidth="1"/>
    <col min="12556" max="12556" width="8.26953125" customWidth="1"/>
    <col min="12557" max="12566" width="6" bestFit="1" customWidth="1"/>
    <col min="12567" max="12567" width="8.54296875" bestFit="1" customWidth="1"/>
    <col min="12568" max="12571" width="6" bestFit="1" customWidth="1"/>
    <col min="12572" max="12572" width="11.1796875" bestFit="1" customWidth="1"/>
    <col min="12573" max="12573" width="9.54296875" bestFit="1" customWidth="1"/>
    <col min="12574" max="12574" width="8" bestFit="1" customWidth="1"/>
    <col min="12575" max="12575" width="9.54296875" bestFit="1" customWidth="1"/>
    <col min="12576" max="12576" width="16.453125" bestFit="1" customWidth="1"/>
    <col min="12796" max="12796" width="4.54296875" bestFit="1" customWidth="1"/>
    <col min="12797" max="12797" width="34.7265625" customWidth="1"/>
    <col min="12798" max="12798" width="9.54296875" customWidth="1"/>
    <col min="12799" max="12799" width="9.453125" customWidth="1"/>
    <col min="12800" max="12800" width="7" customWidth="1"/>
    <col min="12801" max="12802" width="6" customWidth="1"/>
    <col min="12803" max="12803" width="7.453125" customWidth="1"/>
    <col min="12804" max="12805" width="6" customWidth="1"/>
    <col min="12806" max="12806" width="8.26953125" customWidth="1"/>
    <col min="12807" max="12808" width="6" customWidth="1"/>
    <col min="12809" max="12809" width="7.81640625" customWidth="1"/>
    <col min="12810" max="12811" width="6" customWidth="1"/>
    <col min="12812" max="12812" width="8.26953125" customWidth="1"/>
    <col min="12813" max="12822" width="6" bestFit="1" customWidth="1"/>
    <col min="12823" max="12823" width="8.54296875" bestFit="1" customWidth="1"/>
    <col min="12824" max="12827" width="6" bestFit="1" customWidth="1"/>
    <col min="12828" max="12828" width="11.1796875" bestFit="1" customWidth="1"/>
    <col min="12829" max="12829" width="9.54296875" bestFit="1" customWidth="1"/>
    <col min="12830" max="12830" width="8" bestFit="1" customWidth="1"/>
    <col min="12831" max="12831" width="9.54296875" bestFit="1" customWidth="1"/>
    <col min="12832" max="12832" width="16.453125" bestFit="1" customWidth="1"/>
    <col min="13052" max="13052" width="4.54296875" bestFit="1" customWidth="1"/>
    <col min="13053" max="13053" width="34.7265625" customWidth="1"/>
    <col min="13054" max="13054" width="9.54296875" customWidth="1"/>
    <col min="13055" max="13055" width="9.453125" customWidth="1"/>
    <col min="13056" max="13056" width="7" customWidth="1"/>
    <col min="13057" max="13058" width="6" customWidth="1"/>
    <col min="13059" max="13059" width="7.453125" customWidth="1"/>
    <col min="13060" max="13061" width="6" customWidth="1"/>
    <col min="13062" max="13062" width="8.26953125" customWidth="1"/>
    <col min="13063" max="13064" width="6" customWidth="1"/>
    <col min="13065" max="13065" width="7.81640625" customWidth="1"/>
    <col min="13066" max="13067" width="6" customWidth="1"/>
    <col min="13068" max="13068" width="8.26953125" customWidth="1"/>
    <col min="13069" max="13078" width="6" bestFit="1" customWidth="1"/>
    <col min="13079" max="13079" width="8.54296875" bestFit="1" customWidth="1"/>
    <col min="13080" max="13083" width="6" bestFit="1" customWidth="1"/>
    <col min="13084" max="13084" width="11.1796875" bestFit="1" customWidth="1"/>
    <col min="13085" max="13085" width="9.54296875" bestFit="1" customWidth="1"/>
    <col min="13086" max="13086" width="8" bestFit="1" customWidth="1"/>
    <col min="13087" max="13087" width="9.54296875" bestFit="1" customWidth="1"/>
    <col min="13088" max="13088" width="16.453125" bestFit="1" customWidth="1"/>
    <col min="13308" max="13308" width="4.54296875" bestFit="1" customWidth="1"/>
    <col min="13309" max="13309" width="34.7265625" customWidth="1"/>
    <col min="13310" max="13310" width="9.54296875" customWidth="1"/>
    <col min="13311" max="13311" width="9.453125" customWidth="1"/>
    <col min="13312" max="13312" width="7" customWidth="1"/>
    <col min="13313" max="13314" width="6" customWidth="1"/>
    <col min="13315" max="13315" width="7.453125" customWidth="1"/>
    <col min="13316" max="13317" width="6" customWidth="1"/>
    <col min="13318" max="13318" width="8.26953125" customWidth="1"/>
    <col min="13319" max="13320" width="6" customWidth="1"/>
    <col min="13321" max="13321" width="7.81640625" customWidth="1"/>
    <col min="13322" max="13323" width="6" customWidth="1"/>
    <col min="13324" max="13324" width="8.26953125" customWidth="1"/>
    <col min="13325" max="13334" width="6" bestFit="1" customWidth="1"/>
    <col min="13335" max="13335" width="8.54296875" bestFit="1" customWidth="1"/>
    <col min="13336" max="13339" width="6" bestFit="1" customWidth="1"/>
    <col min="13340" max="13340" width="11.1796875" bestFit="1" customWidth="1"/>
    <col min="13341" max="13341" width="9.54296875" bestFit="1" customWidth="1"/>
    <col min="13342" max="13342" width="8" bestFit="1" customWidth="1"/>
    <col min="13343" max="13343" width="9.54296875" bestFit="1" customWidth="1"/>
    <col min="13344" max="13344" width="16.453125" bestFit="1" customWidth="1"/>
    <col min="13564" max="13564" width="4.54296875" bestFit="1" customWidth="1"/>
    <col min="13565" max="13565" width="34.7265625" customWidth="1"/>
    <col min="13566" max="13566" width="9.54296875" customWidth="1"/>
    <col min="13567" max="13567" width="9.453125" customWidth="1"/>
    <col min="13568" max="13568" width="7" customWidth="1"/>
    <col min="13569" max="13570" width="6" customWidth="1"/>
    <col min="13571" max="13571" width="7.453125" customWidth="1"/>
    <col min="13572" max="13573" width="6" customWidth="1"/>
    <col min="13574" max="13574" width="8.26953125" customWidth="1"/>
    <col min="13575" max="13576" width="6" customWidth="1"/>
    <col min="13577" max="13577" width="7.81640625" customWidth="1"/>
    <col min="13578" max="13579" width="6" customWidth="1"/>
    <col min="13580" max="13580" width="8.26953125" customWidth="1"/>
    <col min="13581" max="13590" width="6" bestFit="1" customWidth="1"/>
    <col min="13591" max="13591" width="8.54296875" bestFit="1" customWidth="1"/>
    <col min="13592" max="13595" width="6" bestFit="1" customWidth="1"/>
    <col min="13596" max="13596" width="11.1796875" bestFit="1" customWidth="1"/>
    <col min="13597" max="13597" width="9.54296875" bestFit="1" customWidth="1"/>
    <col min="13598" max="13598" width="8" bestFit="1" customWidth="1"/>
    <col min="13599" max="13599" width="9.54296875" bestFit="1" customWidth="1"/>
    <col min="13600" max="13600" width="16.453125" bestFit="1" customWidth="1"/>
    <col min="13820" max="13820" width="4.54296875" bestFit="1" customWidth="1"/>
    <col min="13821" max="13821" width="34.7265625" customWidth="1"/>
    <col min="13822" max="13822" width="9.54296875" customWidth="1"/>
    <col min="13823" max="13823" width="9.453125" customWidth="1"/>
    <col min="13824" max="13824" width="7" customWidth="1"/>
    <col min="13825" max="13826" width="6" customWidth="1"/>
    <col min="13827" max="13827" width="7.453125" customWidth="1"/>
    <col min="13828" max="13829" width="6" customWidth="1"/>
    <col min="13830" max="13830" width="8.26953125" customWidth="1"/>
    <col min="13831" max="13832" width="6" customWidth="1"/>
    <col min="13833" max="13833" width="7.81640625" customWidth="1"/>
    <col min="13834" max="13835" width="6" customWidth="1"/>
    <col min="13836" max="13836" width="8.26953125" customWidth="1"/>
    <col min="13837" max="13846" width="6" bestFit="1" customWidth="1"/>
    <col min="13847" max="13847" width="8.54296875" bestFit="1" customWidth="1"/>
    <col min="13848" max="13851" width="6" bestFit="1" customWidth="1"/>
    <col min="13852" max="13852" width="11.1796875" bestFit="1" customWidth="1"/>
    <col min="13853" max="13853" width="9.54296875" bestFit="1" customWidth="1"/>
    <col min="13854" max="13854" width="8" bestFit="1" customWidth="1"/>
    <col min="13855" max="13855" width="9.54296875" bestFit="1" customWidth="1"/>
    <col min="13856" max="13856" width="16.453125" bestFit="1" customWidth="1"/>
    <col min="14076" max="14076" width="4.54296875" bestFit="1" customWidth="1"/>
    <col min="14077" max="14077" width="34.7265625" customWidth="1"/>
    <col min="14078" max="14078" width="9.54296875" customWidth="1"/>
    <col min="14079" max="14079" width="9.453125" customWidth="1"/>
    <col min="14080" max="14080" width="7" customWidth="1"/>
    <col min="14081" max="14082" width="6" customWidth="1"/>
    <col min="14083" max="14083" width="7.453125" customWidth="1"/>
    <col min="14084" max="14085" width="6" customWidth="1"/>
    <col min="14086" max="14086" width="8.26953125" customWidth="1"/>
    <col min="14087" max="14088" width="6" customWidth="1"/>
    <col min="14089" max="14089" width="7.81640625" customWidth="1"/>
    <col min="14090" max="14091" width="6" customWidth="1"/>
    <col min="14092" max="14092" width="8.26953125" customWidth="1"/>
    <col min="14093" max="14102" width="6" bestFit="1" customWidth="1"/>
    <col min="14103" max="14103" width="8.54296875" bestFit="1" customWidth="1"/>
    <col min="14104" max="14107" width="6" bestFit="1" customWidth="1"/>
    <col min="14108" max="14108" width="11.1796875" bestFit="1" customWidth="1"/>
    <col min="14109" max="14109" width="9.54296875" bestFit="1" customWidth="1"/>
    <col min="14110" max="14110" width="8" bestFit="1" customWidth="1"/>
    <col min="14111" max="14111" width="9.54296875" bestFit="1" customWidth="1"/>
    <col min="14112" max="14112" width="16.453125" bestFit="1" customWidth="1"/>
    <col min="14332" max="14332" width="4.54296875" bestFit="1" customWidth="1"/>
    <col min="14333" max="14333" width="34.7265625" customWidth="1"/>
    <col min="14334" max="14334" width="9.54296875" customWidth="1"/>
    <col min="14335" max="14335" width="9.453125" customWidth="1"/>
    <col min="14336" max="14336" width="7" customWidth="1"/>
    <col min="14337" max="14338" width="6" customWidth="1"/>
    <col min="14339" max="14339" width="7.453125" customWidth="1"/>
    <col min="14340" max="14341" width="6" customWidth="1"/>
    <col min="14342" max="14342" width="8.26953125" customWidth="1"/>
    <col min="14343" max="14344" width="6" customWidth="1"/>
    <col min="14345" max="14345" width="7.81640625" customWidth="1"/>
    <col min="14346" max="14347" width="6" customWidth="1"/>
    <col min="14348" max="14348" width="8.26953125" customWidth="1"/>
    <col min="14349" max="14358" width="6" bestFit="1" customWidth="1"/>
    <col min="14359" max="14359" width="8.54296875" bestFit="1" customWidth="1"/>
    <col min="14360" max="14363" width="6" bestFit="1" customWidth="1"/>
    <col min="14364" max="14364" width="11.1796875" bestFit="1" customWidth="1"/>
    <col min="14365" max="14365" width="9.54296875" bestFit="1" customWidth="1"/>
    <col min="14366" max="14366" width="8" bestFit="1" customWidth="1"/>
    <col min="14367" max="14367" width="9.54296875" bestFit="1" customWidth="1"/>
    <col min="14368" max="14368" width="16.453125" bestFit="1" customWidth="1"/>
    <col min="14588" max="14588" width="4.54296875" bestFit="1" customWidth="1"/>
    <col min="14589" max="14589" width="34.7265625" customWidth="1"/>
    <col min="14590" max="14590" width="9.54296875" customWidth="1"/>
    <col min="14591" max="14591" width="9.453125" customWidth="1"/>
    <col min="14592" max="14592" width="7" customWidth="1"/>
    <col min="14593" max="14594" width="6" customWidth="1"/>
    <col min="14595" max="14595" width="7.453125" customWidth="1"/>
    <col min="14596" max="14597" width="6" customWidth="1"/>
    <col min="14598" max="14598" width="8.26953125" customWidth="1"/>
    <col min="14599" max="14600" width="6" customWidth="1"/>
    <col min="14601" max="14601" width="7.81640625" customWidth="1"/>
    <col min="14602" max="14603" width="6" customWidth="1"/>
    <col min="14604" max="14604" width="8.26953125" customWidth="1"/>
    <col min="14605" max="14614" width="6" bestFit="1" customWidth="1"/>
    <col min="14615" max="14615" width="8.54296875" bestFit="1" customWidth="1"/>
    <col min="14616" max="14619" width="6" bestFit="1" customWidth="1"/>
    <col min="14620" max="14620" width="11.1796875" bestFit="1" customWidth="1"/>
    <col min="14621" max="14621" width="9.54296875" bestFit="1" customWidth="1"/>
    <col min="14622" max="14622" width="8" bestFit="1" customWidth="1"/>
    <col min="14623" max="14623" width="9.54296875" bestFit="1" customWidth="1"/>
    <col min="14624" max="14624" width="16.453125" bestFit="1" customWidth="1"/>
    <col min="14844" max="14844" width="4.54296875" bestFit="1" customWidth="1"/>
    <col min="14845" max="14845" width="34.7265625" customWidth="1"/>
    <col min="14846" max="14846" width="9.54296875" customWidth="1"/>
    <col min="14847" max="14847" width="9.453125" customWidth="1"/>
    <col min="14848" max="14848" width="7" customWidth="1"/>
    <col min="14849" max="14850" width="6" customWidth="1"/>
    <col min="14851" max="14851" width="7.453125" customWidth="1"/>
    <col min="14852" max="14853" width="6" customWidth="1"/>
    <col min="14854" max="14854" width="8.26953125" customWidth="1"/>
    <col min="14855" max="14856" width="6" customWidth="1"/>
    <col min="14857" max="14857" width="7.81640625" customWidth="1"/>
    <col min="14858" max="14859" width="6" customWidth="1"/>
    <col min="14860" max="14860" width="8.26953125" customWidth="1"/>
    <col min="14861" max="14870" width="6" bestFit="1" customWidth="1"/>
    <col min="14871" max="14871" width="8.54296875" bestFit="1" customWidth="1"/>
    <col min="14872" max="14875" width="6" bestFit="1" customWidth="1"/>
    <col min="14876" max="14876" width="11.1796875" bestFit="1" customWidth="1"/>
    <col min="14877" max="14877" width="9.54296875" bestFit="1" customWidth="1"/>
    <col min="14878" max="14878" width="8" bestFit="1" customWidth="1"/>
    <col min="14879" max="14879" width="9.54296875" bestFit="1" customWidth="1"/>
    <col min="14880" max="14880" width="16.453125" bestFit="1" customWidth="1"/>
    <col min="15100" max="15100" width="4.54296875" bestFit="1" customWidth="1"/>
    <col min="15101" max="15101" width="34.7265625" customWidth="1"/>
    <col min="15102" max="15102" width="9.54296875" customWidth="1"/>
    <col min="15103" max="15103" width="9.453125" customWidth="1"/>
    <col min="15104" max="15104" width="7" customWidth="1"/>
    <col min="15105" max="15106" width="6" customWidth="1"/>
    <col min="15107" max="15107" width="7.453125" customWidth="1"/>
    <col min="15108" max="15109" width="6" customWidth="1"/>
    <col min="15110" max="15110" width="8.26953125" customWidth="1"/>
    <col min="15111" max="15112" width="6" customWidth="1"/>
    <col min="15113" max="15113" width="7.81640625" customWidth="1"/>
    <col min="15114" max="15115" width="6" customWidth="1"/>
    <col min="15116" max="15116" width="8.26953125" customWidth="1"/>
    <col min="15117" max="15126" width="6" bestFit="1" customWidth="1"/>
    <col min="15127" max="15127" width="8.54296875" bestFit="1" customWidth="1"/>
    <col min="15128" max="15131" width="6" bestFit="1" customWidth="1"/>
    <col min="15132" max="15132" width="11.1796875" bestFit="1" customWidth="1"/>
    <col min="15133" max="15133" width="9.54296875" bestFit="1" customWidth="1"/>
    <col min="15134" max="15134" width="8" bestFit="1" customWidth="1"/>
    <col min="15135" max="15135" width="9.54296875" bestFit="1" customWidth="1"/>
    <col min="15136" max="15136" width="16.453125" bestFit="1" customWidth="1"/>
    <col min="15356" max="15356" width="4.54296875" bestFit="1" customWidth="1"/>
    <col min="15357" max="15357" width="34.7265625" customWidth="1"/>
    <col min="15358" max="15358" width="9.54296875" customWidth="1"/>
    <col min="15359" max="15359" width="9.453125" customWidth="1"/>
    <col min="15360" max="15360" width="7" customWidth="1"/>
    <col min="15361" max="15362" width="6" customWidth="1"/>
    <col min="15363" max="15363" width="7.453125" customWidth="1"/>
    <col min="15364" max="15365" width="6" customWidth="1"/>
    <col min="15366" max="15366" width="8.26953125" customWidth="1"/>
    <col min="15367" max="15368" width="6" customWidth="1"/>
    <col min="15369" max="15369" width="7.81640625" customWidth="1"/>
    <col min="15370" max="15371" width="6" customWidth="1"/>
    <col min="15372" max="15372" width="8.26953125" customWidth="1"/>
    <col min="15373" max="15382" width="6" bestFit="1" customWidth="1"/>
    <col min="15383" max="15383" width="8.54296875" bestFit="1" customWidth="1"/>
    <col min="15384" max="15387" width="6" bestFit="1" customWidth="1"/>
    <col min="15388" max="15388" width="11.1796875" bestFit="1" customWidth="1"/>
    <col min="15389" max="15389" width="9.54296875" bestFit="1" customWidth="1"/>
    <col min="15390" max="15390" width="8" bestFit="1" customWidth="1"/>
    <col min="15391" max="15391" width="9.54296875" bestFit="1" customWidth="1"/>
    <col min="15392" max="15392" width="16.453125" bestFit="1" customWidth="1"/>
    <col min="15612" max="15612" width="4.54296875" bestFit="1" customWidth="1"/>
    <col min="15613" max="15613" width="34.7265625" customWidth="1"/>
    <col min="15614" max="15614" width="9.54296875" customWidth="1"/>
    <col min="15615" max="15615" width="9.453125" customWidth="1"/>
    <col min="15616" max="15616" width="7" customWidth="1"/>
    <col min="15617" max="15618" width="6" customWidth="1"/>
    <col min="15619" max="15619" width="7.453125" customWidth="1"/>
    <col min="15620" max="15621" width="6" customWidth="1"/>
    <col min="15622" max="15622" width="8.26953125" customWidth="1"/>
    <col min="15623" max="15624" width="6" customWidth="1"/>
    <col min="15625" max="15625" width="7.81640625" customWidth="1"/>
    <col min="15626" max="15627" width="6" customWidth="1"/>
    <col min="15628" max="15628" width="8.26953125" customWidth="1"/>
    <col min="15629" max="15638" width="6" bestFit="1" customWidth="1"/>
    <col min="15639" max="15639" width="8.54296875" bestFit="1" customWidth="1"/>
    <col min="15640" max="15643" width="6" bestFit="1" customWidth="1"/>
    <col min="15644" max="15644" width="11.1796875" bestFit="1" customWidth="1"/>
    <col min="15645" max="15645" width="9.54296875" bestFit="1" customWidth="1"/>
    <col min="15646" max="15646" width="8" bestFit="1" customWidth="1"/>
    <col min="15647" max="15647" width="9.54296875" bestFit="1" customWidth="1"/>
    <col min="15648" max="15648" width="16.453125" bestFit="1" customWidth="1"/>
    <col min="15868" max="15868" width="4.54296875" bestFit="1" customWidth="1"/>
    <col min="15869" max="15869" width="34.7265625" customWidth="1"/>
    <col min="15870" max="15870" width="9.54296875" customWidth="1"/>
    <col min="15871" max="15871" width="9.453125" customWidth="1"/>
    <col min="15872" max="15872" width="7" customWidth="1"/>
    <col min="15873" max="15874" width="6" customWidth="1"/>
    <col min="15875" max="15875" width="7.453125" customWidth="1"/>
    <col min="15876" max="15877" width="6" customWidth="1"/>
    <col min="15878" max="15878" width="8.26953125" customWidth="1"/>
    <col min="15879" max="15880" width="6" customWidth="1"/>
    <col min="15881" max="15881" width="7.81640625" customWidth="1"/>
    <col min="15882" max="15883" width="6" customWidth="1"/>
    <col min="15884" max="15884" width="8.26953125" customWidth="1"/>
    <col min="15885" max="15894" width="6" bestFit="1" customWidth="1"/>
    <col min="15895" max="15895" width="8.54296875" bestFit="1" customWidth="1"/>
    <col min="15896" max="15899" width="6" bestFit="1" customWidth="1"/>
    <col min="15900" max="15900" width="11.1796875" bestFit="1" customWidth="1"/>
    <col min="15901" max="15901" width="9.54296875" bestFit="1" customWidth="1"/>
    <col min="15902" max="15902" width="8" bestFit="1" customWidth="1"/>
    <col min="15903" max="15903" width="9.54296875" bestFit="1" customWidth="1"/>
    <col min="15904" max="15904" width="16.453125" bestFit="1" customWidth="1"/>
    <col min="16124" max="16124" width="4.54296875" bestFit="1" customWidth="1"/>
    <col min="16125" max="16125" width="34.7265625" customWidth="1"/>
    <col min="16126" max="16126" width="9.54296875" customWidth="1"/>
    <col min="16127" max="16127" width="9.453125" customWidth="1"/>
    <col min="16128" max="16128" width="7" customWidth="1"/>
    <col min="16129" max="16130" width="6" customWidth="1"/>
    <col min="16131" max="16131" width="7.453125" customWidth="1"/>
    <col min="16132" max="16133" width="6" customWidth="1"/>
    <col min="16134" max="16134" width="8.26953125" customWidth="1"/>
    <col min="16135" max="16136" width="6" customWidth="1"/>
    <col min="16137" max="16137" width="7.81640625" customWidth="1"/>
    <col min="16138" max="16139" width="6" customWidth="1"/>
    <col min="16140" max="16140" width="8.26953125" customWidth="1"/>
    <col min="16141" max="16150" width="6" bestFit="1" customWidth="1"/>
    <col min="16151" max="16151" width="8.54296875" bestFit="1" customWidth="1"/>
    <col min="16152" max="16155" width="6" bestFit="1" customWidth="1"/>
    <col min="16156" max="16156" width="11.1796875" bestFit="1" customWidth="1"/>
    <col min="16157" max="16157" width="9.54296875" bestFit="1" customWidth="1"/>
    <col min="16158" max="16158" width="8" bestFit="1" customWidth="1"/>
    <col min="16159" max="16159" width="9.54296875" bestFit="1" customWidth="1"/>
    <col min="16160" max="16160" width="16.453125" bestFit="1" customWidth="1"/>
  </cols>
  <sheetData>
    <row r="2" spans="2:32" ht="15" customHeight="1" thickBot="1" x14ac:dyDescent="0.4"/>
    <row r="3" spans="2:32" ht="15" customHeight="1" thickTop="1" thickBot="1" x14ac:dyDescent="0.4">
      <c r="C3" s="3" t="s">
        <v>0</v>
      </c>
      <c r="D3" s="4" t="s">
        <v>99</v>
      </c>
      <c r="F3" s="114" t="s">
        <v>1</v>
      </c>
      <c r="G3" s="115"/>
      <c r="H3" s="48">
        <v>45975</v>
      </c>
      <c r="I3" s="43"/>
      <c r="J3" s="44" t="s">
        <v>12</v>
      </c>
      <c r="K3" s="45"/>
      <c r="L3" s="112" t="s">
        <v>47</v>
      </c>
      <c r="M3" s="113"/>
      <c r="O3" s="44" t="s">
        <v>13</v>
      </c>
      <c r="P3" s="47" t="s">
        <v>49</v>
      </c>
      <c r="Q3" s="44" t="s">
        <v>20</v>
      </c>
      <c r="R3" s="45"/>
      <c r="S3" s="46">
        <v>1</v>
      </c>
      <c r="T3" s="43"/>
      <c r="U3" s="43"/>
      <c r="AD3" s="112"/>
      <c r="AE3" s="113"/>
      <c r="AF3" s="113"/>
    </row>
    <row r="4" spans="2:32" ht="15" customHeight="1" thickTop="1" thickBot="1" x14ac:dyDescent="0.4">
      <c r="C4" s="40"/>
      <c r="D4" s="41"/>
      <c r="G4" s="42"/>
      <c r="H4" s="42"/>
      <c r="I4" s="43"/>
      <c r="J4" s="43"/>
      <c r="M4" s="42"/>
      <c r="N4" s="42"/>
      <c r="O4" s="43"/>
      <c r="P4" s="43"/>
      <c r="Q4" s="43"/>
      <c r="R4"/>
      <c r="T4" s="1"/>
      <c r="U4"/>
      <c r="W4" s="1"/>
      <c r="X4"/>
      <c r="Z4" s="1"/>
      <c r="AB4"/>
      <c r="AE4" s="2"/>
      <c r="AF4"/>
    </row>
    <row r="5" spans="2:32" ht="15" customHeight="1" thickTop="1" thickBot="1" x14ac:dyDescent="0.4">
      <c r="D5" s="104">
        <v>60</v>
      </c>
      <c r="E5" s="105"/>
      <c r="F5" s="104">
        <v>30</v>
      </c>
      <c r="G5" s="105"/>
      <c r="H5" s="104">
        <v>80</v>
      </c>
      <c r="I5" s="105"/>
      <c r="J5" s="104">
        <v>80</v>
      </c>
      <c r="K5" s="105"/>
      <c r="L5" s="104">
        <v>30</v>
      </c>
      <c r="M5" s="105"/>
      <c r="N5" s="104">
        <v>80</v>
      </c>
      <c r="O5" s="105"/>
      <c r="P5" s="1">
        <f>SUM(D5:O5)</f>
        <v>360</v>
      </c>
      <c r="R5"/>
      <c r="T5" s="2"/>
      <c r="U5"/>
      <c r="X5"/>
      <c r="AA5"/>
      <c r="AB5"/>
      <c r="AF5"/>
    </row>
    <row r="6" spans="2:32" ht="15" customHeight="1" thickBot="1" x14ac:dyDescent="0.4">
      <c r="B6" s="70"/>
      <c r="C6" s="70"/>
      <c r="D6" s="106" t="s">
        <v>15</v>
      </c>
      <c r="E6" s="107"/>
      <c r="F6" s="108" t="s">
        <v>16</v>
      </c>
      <c r="G6" s="109"/>
      <c r="H6" s="110" t="s">
        <v>4</v>
      </c>
      <c r="I6" s="111"/>
      <c r="J6" s="110" t="s">
        <v>5</v>
      </c>
      <c r="K6" s="111"/>
      <c r="L6" s="110" t="s">
        <v>17</v>
      </c>
      <c r="M6" s="111"/>
      <c r="N6" s="110" t="s">
        <v>18</v>
      </c>
      <c r="O6" s="111"/>
      <c r="Q6" s="71" t="s">
        <v>6</v>
      </c>
      <c r="R6" s="72"/>
      <c r="S6" s="6" t="s">
        <v>21</v>
      </c>
      <c r="U6"/>
      <c r="X6"/>
      <c r="AA6"/>
      <c r="AB6"/>
      <c r="AF6"/>
    </row>
    <row r="7" spans="2:32" s="12" customFormat="1" ht="15" customHeight="1" thickBot="1" x14ac:dyDescent="0.35">
      <c r="B7" s="70" t="s">
        <v>2</v>
      </c>
      <c r="C7" s="70" t="s">
        <v>3</v>
      </c>
      <c r="D7" s="7"/>
      <c r="E7" s="8" t="s">
        <v>8</v>
      </c>
      <c r="F7" s="9" t="s">
        <v>7</v>
      </c>
      <c r="G7" s="10" t="s">
        <v>8</v>
      </c>
      <c r="H7" s="9" t="s">
        <v>7</v>
      </c>
      <c r="I7" s="10" t="s">
        <v>8</v>
      </c>
      <c r="J7" s="9" t="s">
        <v>7</v>
      </c>
      <c r="K7" s="10" t="s">
        <v>8</v>
      </c>
      <c r="L7" s="9" t="s">
        <v>7</v>
      </c>
      <c r="M7" s="10" t="s">
        <v>8</v>
      </c>
      <c r="N7" s="9" t="s">
        <v>7</v>
      </c>
      <c r="O7" s="10" t="s">
        <v>8</v>
      </c>
      <c r="P7" s="5" t="s">
        <v>19</v>
      </c>
      <c r="Q7" s="71" t="s">
        <v>6</v>
      </c>
      <c r="R7" s="73" t="s">
        <v>39</v>
      </c>
      <c r="S7" s="11">
        <f>COUNTA(C8:C53)</f>
        <v>44</v>
      </c>
    </row>
    <row r="8" spans="2:32" s="17" customFormat="1" ht="15" customHeight="1" x14ac:dyDescent="0.35">
      <c r="B8" s="78">
        <v>1</v>
      </c>
      <c r="C8" s="89" t="s">
        <v>55</v>
      </c>
      <c r="D8" s="90"/>
      <c r="E8" s="76">
        <v>32</v>
      </c>
      <c r="F8" s="13"/>
      <c r="G8" s="76">
        <v>12</v>
      </c>
      <c r="H8" s="14"/>
      <c r="I8" s="76">
        <v>60</v>
      </c>
      <c r="J8" s="14"/>
      <c r="K8" s="76">
        <v>30</v>
      </c>
      <c r="L8" s="14"/>
      <c r="M8" s="76">
        <v>22</v>
      </c>
      <c r="N8" s="14"/>
      <c r="O8" s="76">
        <v>28</v>
      </c>
      <c r="P8" s="15">
        <f t="shared" ref="P8:P43" si="0">+Q8/R8*100</f>
        <v>51.111111111111107</v>
      </c>
      <c r="Q8" s="15">
        <f t="shared" ref="Q8:Q43" si="1">+O8+M8+K8+I8+G8+E8</f>
        <v>184</v>
      </c>
      <c r="R8" s="15">
        <f>P5</f>
        <v>360</v>
      </c>
      <c r="S8" s="16">
        <f>RANK(Q8,Q8:Q51)</f>
        <v>43</v>
      </c>
    </row>
    <row r="9" spans="2:32" ht="15" customHeight="1" x14ac:dyDescent="0.35">
      <c r="B9" s="78">
        <v>2</v>
      </c>
      <c r="C9" s="89" t="s">
        <v>56</v>
      </c>
      <c r="D9" s="90"/>
      <c r="E9" s="76">
        <v>46</v>
      </c>
      <c r="F9" s="13"/>
      <c r="G9" s="76">
        <v>19</v>
      </c>
      <c r="H9" s="14"/>
      <c r="I9" s="76">
        <v>72</v>
      </c>
      <c r="J9" s="14"/>
      <c r="K9" s="76">
        <v>32</v>
      </c>
      <c r="L9" s="14"/>
      <c r="M9" s="76">
        <v>22</v>
      </c>
      <c r="N9" s="14"/>
      <c r="O9" s="76">
        <v>28</v>
      </c>
      <c r="P9" s="18">
        <f t="shared" si="0"/>
        <v>60.833333333333329</v>
      </c>
      <c r="Q9" s="15">
        <f t="shared" si="1"/>
        <v>219</v>
      </c>
      <c r="R9" s="15">
        <f>P5</f>
        <v>360</v>
      </c>
      <c r="S9" s="16">
        <f>RANK(Q9,Q8:Q51)</f>
        <v>41</v>
      </c>
      <c r="U9"/>
      <c r="X9"/>
      <c r="AA9"/>
      <c r="AB9"/>
      <c r="AF9"/>
    </row>
    <row r="10" spans="2:32" ht="15" customHeight="1" x14ac:dyDescent="0.35">
      <c r="B10" s="78">
        <v>3</v>
      </c>
      <c r="C10" s="89" t="s">
        <v>57</v>
      </c>
      <c r="D10" s="90"/>
      <c r="E10" s="76">
        <v>58</v>
      </c>
      <c r="F10" s="13"/>
      <c r="G10" s="76">
        <v>25</v>
      </c>
      <c r="H10" s="14"/>
      <c r="I10" s="76">
        <v>72</v>
      </c>
      <c r="J10" s="14"/>
      <c r="K10" s="76">
        <v>76</v>
      </c>
      <c r="L10" s="14"/>
      <c r="M10" s="76">
        <v>25</v>
      </c>
      <c r="N10" s="14"/>
      <c r="O10" s="76">
        <v>76</v>
      </c>
      <c r="P10" s="18">
        <f t="shared" si="0"/>
        <v>92.222222222222229</v>
      </c>
      <c r="Q10" s="15">
        <f t="shared" si="1"/>
        <v>332</v>
      </c>
      <c r="R10" s="15">
        <f t="shared" ref="R10:R53" si="2">R9</f>
        <v>360</v>
      </c>
      <c r="S10" s="16">
        <f>RANK(Q10,Q8:Q51)</f>
        <v>11</v>
      </c>
      <c r="U10"/>
      <c r="X10"/>
      <c r="AA10"/>
      <c r="AB10"/>
      <c r="AF10"/>
    </row>
    <row r="11" spans="2:32" ht="15" customHeight="1" x14ac:dyDescent="0.35">
      <c r="B11" s="78">
        <v>4</v>
      </c>
      <c r="C11" s="89" t="s">
        <v>58</v>
      </c>
      <c r="D11" s="90"/>
      <c r="E11" s="76">
        <v>60</v>
      </c>
      <c r="F11" s="13"/>
      <c r="G11" s="76">
        <v>30</v>
      </c>
      <c r="H11" s="14"/>
      <c r="I11" s="76">
        <v>80</v>
      </c>
      <c r="J11" s="14"/>
      <c r="K11" s="76">
        <v>80</v>
      </c>
      <c r="L11" s="14"/>
      <c r="M11" s="76">
        <v>27</v>
      </c>
      <c r="N11" s="14"/>
      <c r="O11" s="76">
        <v>80</v>
      </c>
      <c r="P11" s="18">
        <f t="shared" si="0"/>
        <v>99.166666666666671</v>
      </c>
      <c r="Q11" s="15">
        <f t="shared" si="1"/>
        <v>357</v>
      </c>
      <c r="R11" s="15">
        <f t="shared" si="2"/>
        <v>360</v>
      </c>
      <c r="S11" s="16">
        <f>RANK(Q11,Q8:Q51)</f>
        <v>2</v>
      </c>
      <c r="U11"/>
      <c r="X11"/>
      <c r="AA11"/>
      <c r="AB11"/>
      <c r="AF11"/>
    </row>
    <row r="12" spans="2:32" ht="15" customHeight="1" x14ac:dyDescent="0.35">
      <c r="B12" s="78">
        <v>5</v>
      </c>
      <c r="C12" s="89" t="s">
        <v>59</v>
      </c>
      <c r="D12" s="90"/>
      <c r="E12" s="76">
        <v>43</v>
      </c>
      <c r="F12" s="13"/>
      <c r="G12" s="76">
        <v>21</v>
      </c>
      <c r="H12" s="14"/>
      <c r="I12" s="76">
        <v>50</v>
      </c>
      <c r="J12" s="14"/>
      <c r="K12" s="76">
        <v>30</v>
      </c>
      <c r="L12" s="14"/>
      <c r="M12" s="76">
        <v>21</v>
      </c>
      <c r="N12" s="14"/>
      <c r="O12" s="76">
        <v>48</v>
      </c>
      <c r="P12" s="18">
        <f t="shared" si="0"/>
        <v>59.166666666666664</v>
      </c>
      <c r="Q12" s="15">
        <f t="shared" si="1"/>
        <v>213</v>
      </c>
      <c r="R12" s="15">
        <f t="shared" si="2"/>
        <v>360</v>
      </c>
      <c r="S12" s="16">
        <f>RANK(Q12,Q8:Q51)</f>
        <v>42</v>
      </c>
      <c r="U12"/>
      <c r="X12"/>
      <c r="AA12"/>
      <c r="AB12"/>
      <c r="AF12"/>
    </row>
    <row r="13" spans="2:32" ht="15.5" x14ac:dyDescent="0.35">
      <c r="B13" s="78">
        <v>6</v>
      </c>
      <c r="C13" s="89" t="s">
        <v>60</v>
      </c>
      <c r="D13" s="90"/>
      <c r="E13" s="76">
        <v>56</v>
      </c>
      <c r="F13" s="13"/>
      <c r="G13" s="76">
        <v>28</v>
      </c>
      <c r="H13" s="14"/>
      <c r="I13" s="76">
        <v>74</v>
      </c>
      <c r="J13" s="14"/>
      <c r="K13" s="76">
        <v>80</v>
      </c>
      <c r="L13" s="14"/>
      <c r="M13" s="76">
        <v>23</v>
      </c>
      <c r="N13" s="14"/>
      <c r="O13" s="76">
        <v>69</v>
      </c>
      <c r="P13" s="18">
        <f t="shared" si="0"/>
        <v>91.666666666666657</v>
      </c>
      <c r="Q13" s="15">
        <f t="shared" si="1"/>
        <v>330</v>
      </c>
      <c r="R13" s="15">
        <f t="shared" si="2"/>
        <v>360</v>
      </c>
      <c r="S13" s="16">
        <f>RANK(Q13,Q8:Q51)</f>
        <v>12</v>
      </c>
      <c r="U13"/>
      <c r="X13"/>
      <c r="AA13"/>
      <c r="AB13"/>
      <c r="AF13"/>
    </row>
    <row r="14" spans="2:32" ht="15" customHeight="1" x14ac:dyDescent="0.35">
      <c r="B14" s="78">
        <v>7</v>
      </c>
      <c r="C14" s="89" t="s">
        <v>61</v>
      </c>
      <c r="D14" s="90"/>
      <c r="E14" s="76">
        <v>52</v>
      </c>
      <c r="F14" s="13"/>
      <c r="G14" s="76">
        <v>27</v>
      </c>
      <c r="H14" s="14"/>
      <c r="I14" s="76">
        <v>68</v>
      </c>
      <c r="J14" s="14"/>
      <c r="K14" s="76">
        <v>72</v>
      </c>
      <c r="L14" s="14"/>
      <c r="M14" s="76">
        <v>28</v>
      </c>
      <c r="N14" s="14"/>
      <c r="O14" s="76">
        <v>53</v>
      </c>
      <c r="P14" s="18">
        <f t="shared" si="0"/>
        <v>83.333333333333343</v>
      </c>
      <c r="Q14" s="15">
        <f t="shared" si="1"/>
        <v>300</v>
      </c>
      <c r="R14" s="15">
        <f t="shared" si="2"/>
        <v>360</v>
      </c>
      <c r="S14" s="16">
        <f>RANK(Q14,Q8:Q52)</f>
        <v>29</v>
      </c>
      <c r="U14"/>
      <c r="X14"/>
      <c r="AA14"/>
      <c r="AB14"/>
      <c r="AF14"/>
    </row>
    <row r="15" spans="2:32" ht="15" customHeight="1" x14ac:dyDescent="0.35">
      <c r="B15" s="78">
        <v>8</v>
      </c>
      <c r="C15" s="89" t="s">
        <v>62</v>
      </c>
      <c r="D15" s="90"/>
      <c r="E15" s="76">
        <v>60</v>
      </c>
      <c r="F15" s="13"/>
      <c r="G15" s="76">
        <v>26</v>
      </c>
      <c r="H15" s="14"/>
      <c r="I15" s="76">
        <v>80</v>
      </c>
      <c r="J15" s="14"/>
      <c r="K15" s="76">
        <v>68</v>
      </c>
      <c r="L15" s="14"/>
      <c r="M15" s="76">
        <v>21</v>
      </c>
      <c r="N15" s="14"/>
      <c r="O15" s="76">
        <v>62</v>
      </c>
      <c r="P15" s="18">
        <f t="shared" si="0"/>
        <v>88.055555555555557</v>
      </c>
      <c r="Q15" s="15">
        <f t="shared" si="1"/>
        <v>317</v>
      </c>
      <c r="R15" s="15">
        <f t="shared" si="2"/>
        <v>360</v>
      </c>
      <c r="S15" s="16">
        <f>RANK(Q15,Q8:Q52)</f>
        <v>21</v>
      </c>
      <c r="U15"/>
      <c r="X15"/>
      <c r="AA15"/>
      <c r="AB15"/>
      <c r="AF15"/>
    </row>
    <row r="16" spans="2:32" ht="15" customHeight="1" x14ac:dyDescent="0.35">
      <c r="B16" s="78">
        <v>9</v>
      </c>
      <c r="C16" s="89" t="s">
        <v>63</v>
      </c>
      <c r="D16" s="90"/>
      <c r="E16" s="76">
        <v>48</v>
      </c>
      <c r="F16" s="13"/>
      <c r="G16" s="76">
        <v>21</v>
      </c>
      <c r="H16" s="14"/>
      <c r="I16" s="76">
        <v>44</v>
      </c>
      <c r="J16" s="14"/>
      <c r="K16" s="76">
        <v>40</v>
      </c>
      <c r="L16" s="14"/>
      <c r="M16" s="76">
        <v>23</v>
      </c>
      <c r="N16" s="14"/>
      <c r="O16" s="76">
        <v>56</v>
      </c>
      <c r="P16" s="18">
        <f t="shared" si="0"/>
        <v>64.444444444444443</v>
      </c>
      <c r="Q16" s="15">
        <f t="shared" si="1"/>
        <v>232</v>
      </c>
      <c r="R16" s="15">
        <f t="shared" si="2"/>
        <v>360</v>
      </c>
      <c r="S16" s="16">
        <f>RANK(Q16,Q8:Q52)</f>
        <v>39</v>
      </c>
      <c r="U16"/>
      <c r="X16"/>
      <c r="AA16"/>
      <c r="AB16"/>
      <c r="AF16"/>
    </row>
    <row r="17" spans="2:32" ht="15" customHeight="1" x14ac:dyDescent="0.35">
      <c r="B17" s="78">
        <v>10</v>
      </c>
      <c r="C17" s="89" t="s">
        <v>64</v>
      </c>
      <c r="D17" s="90"/>
      <c r="E17" s="76">
        <v>50</v>
      </c>
      <c r="F17" s="13"/>
      <c r="G17" s="76">
        <v>19</v>
      </c>
      <c r="H17" s="14"/>
      <c r="I17" s="76">
        <v>56</v>
      </c>
      <c r="J17" s="14"/>
      <c r="K17" s="76">
        <v>64</v>
      </c>
      <c r="L17" s="14"/>
      <c r="M17" s="76">
        <v>21</v>
      </c>
      <c r="N17" s="14"/>
      <c r="O17" s="76">
        <v>60</v>
      </c>
      <c r="P17" s="18">
        <f t="shared" si="0"/>
        <v>75</v>
      </c>
      <c r="Q17" s="15">
        <f t="shared" si="1"/>
        <v>270</v>
      </c>
      <c r="R17" s="15">
        <f t="shared" si="2"/>
        <v>360</v>
      </c>
      <c r="S17" s="16">
        <f>RANK(Q17,Q8:Q52)</f>
        <v>36</v>
      </c>
      <c r="U17"/>
      <c r="X17"/>
      <c r="AA17"/>
      <c r="AB17"/>
      <c r="AF17"/>
    </row>
    <row r="18" spans="2:32" ht="15" customHeight="1" x14ac:dyDescent="0.35">
      <c r="B18" s="78">
        <v>11</v>
      </c>
      <c r="C18" s="89" t="s">
        <v>65</v>
      </c>
      <c r="D18" s="90"/>
      <c r="E18" s="76">
        <v>54</v>
      </c>
      <c r="F18" s="13"/>
      <c r="G18" s="76">
        <v>27</v>
      </c>
      <c r="H18" s="14"/>
      <c r="I18" s="76">
        <v>76</v>
      </c>
      <c r="J18" s="14"/>
      <c r="K18" s="76">
        <v>66</v>
      </c>
      <c r="L18" s="14"/>
      <c r="M18" s="76">
        <v>28</v>
      </c>
      <c r="N18" s="14"/>
      <c r="O18" s="76">
        <v>66</v>
      </c>
      <c r="P18" s="18">
        <f t="shared" si="0"/>
        <v>88.055555555555557</v>
      </c>
      <c r="Q18" s="15">
        <f t="shared" si="1"/>
        <v>317</v>
      </c>
      <c r="R18" s="15">
        <f t="shared" si="2"/>
        <v>360</v>
      </c>
      <c r="S18" s="16">
        <f>RANK(Q18,Q8:Q52)</f>
        <v>21</v>
      </c>
      <c r="U18"/>
      <c r="X18"/>
      <c r="AA18"/>
      <c r="AB18"/>
      <c r="AF18"/>
    </row>
    <row r="19" spans="2:32" ht="15" customHeight="1" x14ac:dyDescent="0.35">
      <c r="B19" s="78">
        <v>12</v>
      </c>
      <c r="C19" s="89" t="s">
        <v>66</v>
      </c>
      <c r="D19" s="90"/>
      <c r="E19" s="76">
        <v>51</v>
      </c>
      <c r="F19" s="13"/>
      <c r="G19" s="76">
        <v>21</v>
      </c>
      <c r="H19" s="14"/>
      <c r="I19" s="76">
        <v>66</v>
      </c>
      <c r="J19" s="14"/>
      <c r="K19" s="76">
        <v>76</v>
      </c>
      <c r="L19" s="14"/>
      <c r="M19" s="76">
        <v>16</v>
      </c>
      <c r="N19" s="14"/>
      <c r="O19" s="76">
        <v>68</v>
      </c>
      <c r="P19" s="18">
        <f t="shared" si="0"/>
        <v>82.777777777777771</v>
      </c>
      <c r="Q19" s="15">
        <f t="shared" si="1"/>
        <v>298</v>
      </c>
      <c r="R19" s="15">
        <f t="shared" si="2"/>
        <v>360</v>
      </c>
      <c r="S19" s="16">
        <f>RANK(Q19,Q8:Q52)</f>
        <v>31</v>
      </c>
      <c r="U19"/>
      <c r="X19"/>
      <c r="AA19"/>
      <c r="AB19"/>
      <c r="AF19"/>
    </row>
    <row r="20" spans="2:32" ht="15" customHeight="1" x14ac:dyDescent="0.35">
      <c r="B20" s="78">
        <v>13</v>
      </c>
      <c r="C20" s="89" t="s">
        <v>67</v>
      </c>
      <c r="D20" s="90"/>
      <c r="E20" s="76">
        <v>56</v>
      </c>
      <c r="F20" s="13"/>
      <c r="G20" s="76">
        <v>22</v>
      </c>
      <c r="H20" s="14"/>
      <c r="I20" s="76">
        <v>78</v>
      </c>
      <c r="J20" s="14"/>
      <c r="K20" s="76">
        <v>80</v>
      </c>
      <c r="L20" s="14"/>
      <c r="M20" s="76">
        <v>20</v>
      </c>
      <c r="N20" s="14"/>
      <c r="O20" s="76">
        <v>50</v>
      </c>
      <c r="P20" s="18">
        <f t="shared" si="0"/>
        <v>85</v>
      </c>
      <c r="Q20" s="15">
        <f t="shared" si="1"/>
        <v>306</v>
      </c>
      <c r="R20" s="15">
        <f t="shared" si="2"/>
        <v>360</v>
      </c>
      <c r="S20" s="16">
        <f>RANK(Q20,Q8:Q52)</f>
        <v>25</v>
      </c>
      <c r="U20"/>
      <c r="X20"/>
      <c r="AA20"/>
      <c r="AB20"/>
      <c r="AF20"/>
    </row>
    <row r="21" spans="2:32" ht="15" customHeight="1" x14ac:dyDescent="0.35">
      <c r="B21" s="78">
        <v>14</v>
      </c>
      <c r="C21" s="89" t="s">
        <v>68</v>
      </c>
      <c r="D21" s="90"/>
      <c r="E21" s="76">
        <v>59</v>
      </c>
      <c r="F21" s="13"/>
      <c r="G21" s="76">
        <v>30</v>
      </c>
      <c r="H21" s="14"/>
      <c r="I21" s="76">
        <v>80</v>
      </c>
      <c r="J21" s="14"/>
      <c r="K21" s="76">
        <v>80</v>
      </c>
      <c r="L21" s="14"/>
      <c r="M21" s="76">
        <v>29</v>
      </c>
      <c r="N21" s="14"/>
      <c r="O21" s="76">
        <v>76</v>
      </c>
      <c r="P21" s="18">
        <f t="shared" si="0"/>
        <v>98.333333333333329</v>
      </c>
      <c r="Q21" s="15">
        <f t="shared" si="1"/>
        <v>354</v>
      </c>
      <c r="R21" s="15">
        <f t="shared" si="2"/>
        <v>360</v>
      </c>
      <c r="S21" s="16">
        <f>RANK(Q21,Q8:Q52)</f>
        <v>3</v>
      </c>
      <c r="U21"/>
      <c r="X21"/>
      <c r="AA21"/>
      <c r="AB21"/>
      <c r="AF21"/>
    </row>
    <row r="22" spans="2:32" ht="15" customHeight="1" x14ac:dyDescent="0.35">
      <c r="B22" s="78">
        <v>15</v>
      </c>
      <c r="C22" s="89" t="s">
        <v>69</v>
      </c>
      <c r="D22" s="90"/>
      <c r="E22" s="76">
        <v>58</v>
      </c>
      <c r="F22" s="13"/>
      <c r="G22" s="76">
        <v>30</v>
      </c>
      <c r="H22" s="14"/>
      <c r="I22" s="76">
        <v>74</v>
      </c>
      <c r="J22" s="14"/>
      <c r="K22" s="76">
        <v>70</v>
      </c>
      <c r="L22" s="14"/>
      <c r="M22" s="76">
        <v>22</v>
      </c>
      <c r="N22" s="14"/>
      <c r="O22" s="76">
        <v>64</v>
      </c>
      <c r="P22" s="18">
        <f t="shared" si="0"/>
        <v>88.333333333333329</v>
      </c>
      <c r="Q22" s="15">
        <f t="shared" si="1"/>
        <v>318</v>
      </c>
      <c r="R22" s="15">
        <f t="shared" si="2"/>
        <v>360</v>
      </c>
      <c r="S22" s="16">
        <f>RANK(Q22,Q8:Q52)</f>
        <v>20</v>
      </c>
      <c r="U22"/>
      <c r="X22"/>
      <c r="AA22"/>
      <c r="AB22"/>
      <c r="AF22"/>
    </row>
    <row r="23" spans="2:32" ht="15" customHeight="1" x14ac:dyDescent="0.35">
      <c r="B23" s="78">
        <v>16</v>
      </c>
      <c r="C23" s="89" t="s">
        <v>70</v>
      </c>
      <c r="D23" s="90"/>
      <c r="E23" s="76">
        <v>44</v>
      </c>
      <c r="F23" s="13"/>
      <c r="G23" s="76">
        <v>16</v>
      </c>
      <c r="H23" s="14"/>
      <c r="I23" s="76">
        <v>52</v>
      </c>
      <c r="J23" s="14"/>
      <c r="K23" s="76">
        <v>68</v>
      </c>
      <c r="L23" s="14"/>
      <c r="M23" s="76">
        <v>20</v>
      </c>
      <c r="N23" s="14"/>
      <c r="O23" s="76">
        <v>30</v>
      </c>
      <c r="P23" s="18">
        <f t="shared" si="0"/>
        <v>63.888888888888886</v>
      </c>
      <c r="Q23" s="15">
        <f t="shared" si="1"/>
        <v>230</v>
      </c>
      <c r="R23" s="15">
        <f t="shared" si="2"/>
        <v>360</v>
      </c>
      <c r="S23" s="16">
        <f>RANK(Q23,Q8:Q52)</f>
        <v>40</v>
      </c>
      <c r="U23"/>
      <c r="X23"/>
      <c r="AA23"/>
      <c r="AB23"/>
      <c r="AF23"/>
    </row>
    <row r="24" spans="2:32" ht="15" customHeight="1" x14ac:dyDescent="0.35">
      <c r="B24" s="78">
        <v>17</v>
      </c>
      <c r="C24" s="89" t="s">
        <v>71</v>
      </c>
      <c r="D24" s="90"/>
      <c r="E24" s="76">
        <v>47</v>
      </c>
      <c r="F24" s="13"/>
      <c r="G24" s="76">
        <v>25</v>
      </c>
      <c r="H24" s="14"/>
      <c r="I24" s="76">
        <v>74</v>
      </c>
      <c r="J24" s="14"/>
      <c r="K24" s="76">
        <v>74</v>
      </c>
      <c r="L24" s="14"/>
      <c r="M24" s="76">
        <v>24</v>
      </c>
      <c r="N24" s="14"/>
      <c r="O24" s="76">
        <v>60</v>
      </c>
      <c r="P24" s="18">
        <f t="shared" si="0"/>
        <v>84.444444444444443</v>
      </c>
      <c r="Q24" s="15">
        <f t="shared" si="1"/>
        <v>304</v>
      </c>
      <c r="R24" s="15">
        <f t="shared" si="2"/>
        <v>360</v>
      </c>
      <c r="S24" s="16">
        <f>RANK(Q24,Q8:Q52)</f>
        <v>27</v>
      </c>
      <c r="U24"/>
      <c r="X24"/>
      <c r="AA24"/>
      <c r="AB24"/>
      <c r="AF24"/>
    </row>
    <row r="25" spans="2:32" ht="15" customHeight="1" x14ac:dyDescent="0.35">
      <c r="B25" s="78">
        <v>18</v>
      </c>
      <c r="C25" s="89" t="s">
        <v>72</v>
      </c>
      <c r="D25" s="90"/>
      <c r="E25" s="76">
        <v>44</v>
      </c>
      <c r="F25" s="13"/>
      <c r="G25" s="76">
        <v>19</v>
      </c>
      <c r="H25" s="14"/>
      <c r="I25" s="76">
        <v>52</v>
      </c>
      <c r="J25" s="14"/>
      <c r="K25" s="76">
        <v>70</v>
      </c>
      <c r="L25" s="14"/>
      <c r="M25" s="76">
        <v>28</v>
      </c>
      <c r="N25" s="14"/>
      <c r="O25" s="76">
        <v>44</v>
      </c>
      <c r="P25" s="18">
        <f t="shared" si="0"/>
        <v>71.388888888888886</v>
      </c>
      <c r="Q25" s="15">
        <f t="shared" si="1"/>
        <v>257</v>
      </c>
      <c r="R25" s="15">
        <f t="shared" si="2"/>
        <v>360</v>
      </c>
      <c r="S25" s="16">
        <f>RANK(Q25,Q8:Q52)</f>
        <v>37</v>
      </c>
      <c r="U25"/>
      <c r="X25"/>
      <c r="AA25"/>
      <c r="AB25"/>
      <c r="AF25"/>
    </row>
    <row r="26" spans="2:32" ht="15" customHeight="1" x14ac:dyDescent="0.35">
      <c r="B26" s="78">
        <v>19</v>
      </c>
      <c r="C26" s="89" t="s">
        <v>73</v>
      </c>
      <c r="D26" s="90"/>
      <c r="E26" s="76">
        <v>58</v>
      </c>
      <c r="F26" s="13"/>
      <c r="G26" s="76">
        <v>28</v>
      </c>
      <c r="H26" s="14"/>
      <c r="I26" s="76">
        <v>80</v>
      </c>
      <c r="J26" s="14"/>
      <c r="K26" s="76">
        <v>76</v>
      </c>
      <c r="L26" s="14"/>
      <c r="M26" s="76">
        <v>25</v>
      </c>
      <c r="N26" s="14"/>
      <c r="O26" s="76">
        <v>58</v>
      </c>
      <c r="P26" s="18">
        <f t="shared" si="0"/>
        <v>90.277777777777786</v>
      </c>
      <c r="Q26" s="15">
        <f t="shared" si="1"/>
        <v>325</v>
      </c>
      <c r="R26" s="15">
        <f t="shared" si="2"/>
        <v>360</v>
      </c>
      <c r="S26" s="16">
        <f>RANK(Q26,Q8:Q52)</f>
        <v>17</v>
      </c>
      <c r="U26"/>
      <c r="X26"/>
      <c r="AA26"/>
      <c r="AB26"/>
      <c r="AF26"/>
    </row>
    <row r="27" spans="2:32" ht="15" customHeight="1" x14ac:dyDescent="0.35">
      <c r="B27" s="78">
        <v>20</v>
      </c>
      <c r="C27" s="89" t="s">
        <v>74</v>
      </c>
      <c r="D27" s="90"/>
      <c r="E27" s="76">
        <v>60</v>
      </c>
      <c r="F27" s="13"/>
      <c r="G27" s="76">
        <v>30</v>
      </c>
      <c r="H27" s="14"/>
      <c r="I27" s="76">
        <v>80</v>
      </c>
      <c r="J27" s="14"/>
      <c r="K27" s="76">
        <v>72</v>
      </c>
      <c r="L27" s="91" t="s">
        <v>48</v>
      </c>
      <c r="M27" s="76">
        <v>27</v>
      </c>
      <c r="N27" s="14"/>
      <c r="O27" s="76">
        <v>76</v>
      </c>
      <c r="P27" s="18">
        <f t="shared" si="0"/>
        <v>95.833333333333343</v>
      </c>
      <c r="Q27" s="15">
        <f t="shared" si="1"/>
        <v>345</v>
      </c>
      <c r="R27" s="15">
        <f t="shared" si="2"/>
        <v>360</v>
      </c>
      <c r="S27" s="16">
        <f>RANK(Q27,Q8:Q53)</f>
        <v>8</v>
      </c>
      <c r="U27"/>
      <c r="X27"/>
      <c r="AA27"/>
      <c r="AB27"/>
      <c r="AF27"/>
    </row>
    <row r="28" spans="2:32" ht="15" customHeight="1" x14ac:dyDescent="0.35">
      <c r="B28" s="78">
        <v>21</v>
      </c>
      <c r="C28" s="89" t="s">
        <v>75</v>
      </c>
      <c r="D28" s="90"/>
      <c r="E28" s="76">
        <v>58</v>
      </c>
      <c r="F28" s="13"/>
      <c r="G28" s="76">
        <v>26</v>
      </c>
      <c r="H28" s="14"/>
      <c r="I28" s="76">
        <v>70</v>
      </c>
      <c r="J28" s="14"/>
      <c r="K28" s="76">
        <v>68</v>
      </c>
      <c r="L28" s="14"/>
      <c r="M28" s="76">
        <v>24</v>
      </c>
      <c r="N28" s="14"/>
      <c r="O28" s="76">
        <v>53</v>
      </c>
      <c r="P28" s="18">
        <f t="shared" si="0"/>
        <v>83.055555555555557</v>
      </c>
      <c r="Q28" s="15">
        <f t="shared" si="1"/>
        <v>299</v>
      </c>
      <c r="R28" s="15">
        <f t="shared" si="2"/>
        <v>360</v>
      </c>
      <c r="S28" s="16">
        <f>RANK(Q28,Q8:Q53)</f>
        <v>30</v>
      </c>
      <c r="U28"/>
      <c r="X28"/>
      <c r="AA28"/>
      <c r="AB28"/>
      <c r="AF28"/>
    </row>
    <row r="29" spans="2:32" ht="15" customHeight="1" x14ac:dyDescent="0.35">
      <c r="B29" s="78">
        <v>22</v>
      </c>
      <c r="C29" s="89" t="s">
        <v>76</v>
      </c>
      <c r="D29" s="90"/>
      <c r="E29" s="76">
        <v>58</v>
      </c>
      <c r="F29" s="13"/>
      <c r="G29" s="76">
        <v>24</v>
      </c>
      <c r="H29" s="14"/>
      <c r="I29" s="76">
        <v>62</v>
      </c>
      <c r="J29" s="14"/>
      <c r="K29" s="76">
        <v>80</v>
      </c>
      <c r="L29" s="14"/>
      <c r="M29" s="76">
        <v>27</v>
      </c>
      <c r="N29" s="14"/>
      <c r="O29" s="76">
        <v>70</v>
      </c>
      <c r="P29" s="18">
        <f t="shared" si="0"/>
        <v>89.166666666666671</v>
      </c>
      <c r="Q29" s="15">
        <f t="shared" si="1"/>
        <v>321</v>
      </c>
      <c r="R29" s="15">
        <f t="shared" si="2"/>
        <v>360</v>
      </c>
      <c r="S29" s="16">
        <f>RANK(Q29,Q8:Q53)</f>
        <v>19</v>
      </c>
      <c r="U29"/>
      <c r="X29"/>
      <c r="AA29"/>
      <c r="AB29"/>
      <c r="AF29"/>
    </row>
    <row r="30" spans="2:32" ht="15" customHeight="1" x14ac:dyDescent="0.35">
      <c r="B30" s="78">
        <v>23</v>
      </c>
      <c r="C30" s="89" t="s">
        <v>77</v>
      </c>
      <c r="D30" s="90"/>
      <c r="E30" s="76">
        <v>56</v>
      </c>
      <c r="F30" s="13"/>
      <c r="G30" s="76">
        <v>19</v>
      </c>
      <c r="H30" s="14"/>
      <c r="I30" s="76">
        <v>78</v>
      </c>
      <c r="J30" s="14"/>
      <c r="K30" s="76">
        <v>72</v>
      </c>
      <c r="L30" s="14"/>
      <c r="M30" s="76">
        <v>20</v>
      </c>
      <c r="N30" s="14"/>
      <c r="O30" s="76">
        <v>56</v>
      </c>
      <c r="P30" s="18">
        <f t="shared" si="0"/>
        <v>83.611111111111114</v>
      </c>
      <c r="Q30" s="15">
        <f t="shared" si="1"/>
        <v>301</v>
      </c>
      <c r="R30" s="15">
        <f t="shared" si="2"/>
        <v>360</v>
      </c>
      <c r="S30" s="16">
        <f>RANK(Q30,Q8:Q53)</f>
        <v>28</v>
      </c>
      <c r="U30"/>
      <c r="X30"/>
      <c r="AA30"/>
      <c r="AB30"/>
      <c r="AF30"/>
    </row>
    <row r="31" spans="2:32" ht="15" customHeight="1" x14ac:dyDescent="0.35">
      <c r="B31" s="78">
        <v>24</v>
      </c>
      <c r="C31" s="89" t="s">
        <v>78</v>
      </c>
      <c r="D31" s="90"/>
      <c r="E31" s="76">
        <v>60</v>
      </c>
      <c r="F31" s="13"/>
      <c r="G31" s="76">
        <v>30</v>
      </c>
      <c r="H31" s="14"/>
      <c r="I31" s="76">
        <v>80</v>
      </c>
      <c r="J31" s="14"/>
      <c r="K31" s="76">
        <v>80</v>
      </c>
      <c r="L31" s="14"/>
      <c r="M31" s="76">
        <v>30</v>
      </c>
      <c r="N31" s="14"/>
      <c r="O31" s="76">
        <v>80</v>
      </c>
      <c r="P31" s="18">
        <f t="shared" si="0"/>
        <v>100</v>
      </c>
      <c r="Q31" s="15">
        <f t="shared" si="1"/>
        <v>360</v>
      </c>
      <c r="R31" s="15">
        <f t="shared" si="2"/>
        <v>360</v>
      </c>
      <c r="S31" s="16">
        <f>RANK(Q31,Q8:Q53)</f>
        <v>1</v>
      </c>
      <c r="U31"/>
      <c r="X31"/>
      <c r="AA31"/>
      <c r="AB31"/>
      <c r="AF31"/>
    </row>
    <row r="32" spans="2:32" ht="15" customHeight="1" x14ac:dyDescent="0.35">
      <c r="B32" s="78">
        <v>25</v>
      </c>
      <c r="C32" s="89" t="s">
        <v>79</v>
      </c>
      <c r="D32" s="90"/>
      <c r="E32" s="76">
        <v>12</v>
      </c>
      <c r="F32" s="13"/>
      <c r="G32" s="76">
        <v>5</v>
      </c>
      <c r="H32" s="14"/>
      <c r="I32" s="76">
        <v>12</v>
      </c>
      <c r="J32" s="14"/>
      <c r="K32" s="76">
        <v>30</v>
      </c>
      <c r="L32" s="14"/>
      <c r="M32" s="76">
        <v>12</v>
      </c>
      <c r="N32" s="14"/>
      <c r="O32" s="76">
        <v>10</v>
      </c>
      <c r="P32" s="18">
        <f t="shared" si="0"/>
        <v>22.5</v>
      </c>
      <c r="Q32" s="15">
        <f t="shared" si="1"/>
        <v>81</v>
      </c>
      <c r="R32" s="15">
        <f t="shared" si="2"/>
        <v>360</v>
      </c>
      <c r="S32" s="16">
        <f>RANK(Q32,Q8:Q53)</f>
        <v>44</v>
      </c>
      <c r="U32"/>
      <c r="X32"/>
      <c r="AA32"/>
      <c r="AB32"/>
      <c r="AF32"/>
    </row>
    <row r="33" spans="2:32" ht="15" customHeight="1" x14ac:dyDescent="0.35">
      <c r="B33" s="78">
        <v>26</v>
      </c>
      <c r="C33" s="89" t="s">
        <v>80</v>
      </c>
      <c r="D33" s="90"/>
      <c r="E33" s="76">
        <v>40</v>
      </c>
      <c r="F33" s="13"/>
      <c r="G33" s="76">
        <v>17</v>
      </c>
      <c r="H33" s="14"/>
      <c r="I33" s="76">
        <v>58</v>
      </c>
      <c r="J33" s="14"/>
      <c r="K33" s="76">
        <v>60</v>
      </c>
      <c r="L33" s="14"/>
      <c r="M33" s="76">
        <v>19</v>
      </c>
      <c r="N33" s="14"/>
      <c r="O33" s="76">
        <v>42</v>
      </c>
      <c r="P33" s="18">
        <f t="shared" si="0"/>
        <v>65.555555555555557</v>
      </c>
      <c r="Q33" s="15">
        <f t="shared" si="1"/>
        <v>236</v>
      </c>
      <c r="R33" s="15">
        <f t="shared" si="2"/>
        <v>360</v>
      </c>
      <c r="S33" s="16">
        <f>RANK(Q33,Q8:Q53)</f>
        <v>38</v>
      </c>
      <c r="U33"/>
      <c r="X33"/>
      <c r="AA33"/>
      <c r="AB33"/>
      <c r="AF33"/>
    </row>
    <row r="34" spans="2:32" ht="15" customHeight="1" x14ac:dyDescent="0.35">
      <c r="B34" s="78">
        <v>27</v>
      </c>
      <c r="C34" s="89" t="s">
        <v>81</v>
      </c>
      <c r="D34" s="90"/>
      <c r="E34" s="76">
        <v>56</v>
      </c>
      <c r="F34" s="13"/>
      <c r="G34" s="76">
        <v>26</v>
      </c>
      <c r="H34" s="14"/>
      <c r="I34" s="76">
        <v>72</v>
      </c>
      <c r="J34" s="14"/>
      <c r="K34" s="76">
        <v>80</v>
      </c>
      <c r="L34" s="14"/>
      <c r="M34" s="76">
        <v>22</v>
      </c>
      <c r="N34" s="14"/>
      <c r="O34" s="76">
        <v>70</v>
      </c>
      <c r="P34" s="18">
        <f t="shared" si="0"/>
        <v>90.555555555555557</v>
      </c>
      <c r="Q34" s="15">
        <f t="shared" si="1"/>
        <v>326</v>
      </c>
      <c r="R34" s="15">
        <f t="shared" si="2"/>
        <v>360</v>
      </c>
      <c r="S34" s="16">
        <f>RANK(Q34,Q8:Q53)</f>
        <v>16</v>
      </c>
      <c r="U34"/>
      <c r="X34"/>
      <c r="AA34"/>
      <c r="AB34"/>
      <c r="AF34"/>
    </row>
    <row r="35" spans="2:32" ht="15" customHeight="1" x14ac:dyDescent="0.35">
      <c r="B35" s="78">
        <v>28</v>
      </c>
      <c r="C35" s="89" t="s">
        <v>82</v>
      </c>
      <c r="D35" s="90"/>
      <c r="E35" s="76">
        <v>56</v>
      </c>
      <c r="F35" s="13"/>
      <c r="G35" s="76">
        <v>28</v>
      </c>
      <c r="H35" s="14"/>
      <c r="I35" s="76">
        <v>80</v>
      </c>
      <c r="J35" s="14"/>
      <c r="K35" s="76">
        <v>80</v>
      </c>
      <c r="L35" s="14"/>
      <c r="M35" s="76">
        <v>29</v>
      </c>
      <c r="N35" s="14"/>
      <c r="O35" s="76">
        <v>80</v>
      </c>
      <c r="P35" s="18">
        <f t="shared" si="0"/>
        <v>98.055555555555557</v>
      </c>
      <c r="Q35" s="15">
        <f t="shared" si="1"/>
        <v>353</v>
      </c>
      <c r="R35" s="15">
        <f t="shared" si="2"/>
        <v>360</v>
      </c>
      <c r="S35" s="16">
        <f>RANK(Q35,Q8:Q43)</f>
        <v>5</v>
      </c>
      <c r="U35"/>
      <c r="X35"/>
      <c r="AA35"/>
      <c r="AB35"/>
      <c r="AF35"/>
    </row>
    <row r="36" spans="2:32" ht="15" customHeight="1" x14ac:dyDescent="0.35">
      <c r="B36" s="78">
        <v>29</v>
      </c>
      <c r="C36" s="89" t="s">
        <v>83</v>
      </c>
      <c r="D36" s="90"/>
      <c r="E36" s="76">
        <v>57</v>
      </c>
      <c r="F36" s="13"/>
      <c r="G36" s="76">
        <v>25</v>
      </c>
      <c r="H36" s="14"/>
      <c r="I36" s="76">
        <v>78</v>
      </c>
      <c r="J36" s="14"/>
      <c r="K36" s="76">
        <v>80</v>
      </c>
      <c r="L36" s="14"/>
      <c r="M36" s="76">
        <v>21</v>
      </c>
      <c r="N36" s="14"/>
      <c r="O36" s="76">
        <v>76</v>
      </c>
      <c r="P36" s="18">
        <f t="shared" si="0"/>
        <v>93.611111111111114</v>
      </c>
      <c r="Q36" s="15">
        <f t="shared" si="1"/>
        <v>337</v>
      </c>
      <c r="R36" s="15">
        <f t="shared" si="2"/>
        <v>360</v>
      </c>
      <c r="S36" s="16">
        <f>RANK(Q36,Q8:Q54)</f>
        <v>10</v>
      </c>
      <c r="U36"/>
      <c r="X36"/>
      <c r="AA36"/>
      <c r="AB36"/>
      <c r="AF36"/>
    </row>
    <row r="37" spans="2:32" ht="15" customHeight="1" x14ac:dyDescent="0.35">
      <c r="B37" s="78">
        <v>30</v>
      </c>
      <c r="C37" s="89" t="s">
        <v>84</v>
      </c>
      <c r="D37" s="90"/>
      <c r="E37" s="76">
        <v>58</v>
      </c>
      <c r="F37" s="13"/>
      <c r="G37" s="76">
        <v>20</v>
      </c>
      <c r="H37" s="14"/>
      <c r="I37" s="76">
        <v>80</v>
      </c>
      <c r="J37" s="14"/>
      <c r="K37" s="76">
        <v>74</v>
      </c>
      <c r="L37" s="14"/>
      <c r="M37" s="76">
        <v>28</v>
      </c>
      <c r="N37" s="14"/>
      <c r="O37" s="76">
        <v>70</v>
      </c>
      <c r="P37" s="18">
        <f t="shared" si="0"/>
        <v>91.666666666666657</v>
      </c>
      <c r="Q37" s="15">
        <f t="shared" si="1"/>
        <v>330</v>
      </c>
      <c r="R37" s="15">
        <f t="shared" si="2"/>
        <v>360</v>
      </c>
      <c r="S37" s="16">
        <f>RANK(Q37,Q8:Q54)</f>
        <v>12</v>
      </c>
      <c r="U37"/>
      <c r="X37"/>
      <c r="AA37"/>
      <c r="AB37"/>
      <c r="AF37"/>
    </row>
    <row r="38" spans="2:32" ht="15" customHeight="1" x14ac:dyDescent="0.35">
      <c r="B38" s="78">
        <v>31</v>
      </c>
      <c r="C38" s="89" t="s">
        <v>85</v>
      </c>
      <c r="D38" s="90"/>
      <c r="E38" s="76">
        <v>56</v>
      </c>
      <c r="F38" s="13"/>
      <c r="G38" s="76">
        <v>28</v>
      </c>
      <c r="H38" s="14"/>
      <c r="I38" s="76">
        <v>80</v>
      </c>
      <c r="J38" s="14"/>
      <c r="K38" s="76">
        <v>68</v>
      </c>
      <c r="L38" s="14"/>
      <c r="M38" s="76">
        <v>22</v>
      </c>
      <c r="N38" s="14"/>
      <c r="O38" s="76">
        <v>55</v>
      </c>
      <c r="P38" s="18">
        <f t="shared" si="0"/>
        <v>85.833333333333329</v>
      </c>
      <c r="Q38" s="15">
        <f t="shared" si="1"/>
        <v>309</v>
      </c>
      <c r="R38" s="15">
        <f t="shared" si="2"/>
        <v>360</v>
      </c>
      <c r="S38" s="16">
        <f>RANK(Q38,Q8:Q54)</f>
        <v>23</v>
      </c>
      <c r="U38"/>
      <c r="X38"/>
      <c r="AA38"/>
      <c r="AB38"/>
      <c r="AF38"/>
    </row>
    <row r="39" spans="2:32" ht="15" customHeight="1" x14ac:dyDescent="0.35">
      <c r="B39" s="78">
        <v>32</v>
      </c>
      <c r="C39" s="89" t="s">
        <v>86</v>
      </c>
      <c r="D39" s="90"/>
      <c r="E39" s="76">
        <v>60</v>
      </c>
      <c r="F39" s="13"/>
      <c r="G39" s="76">
        <v>26</v>
      </c>
      <c r="H39" s="14"/>
      <c r="I39" s="76">
        <v>80</v>
      </c>
      <c r="J39" s="14"/>
      <c r="K39" s="76">
        <v>76</v>
      </c>
      <c r="L39" s="14"/>
      <c r="M39" s="76">
        <v>22</v>
      </c>
      <c r="N39" s="14"/>
      <c r="O39" s="76">
        <v>64</v>
      </c>
      <c r="P39" s="18">
        <f t="shared" si="0"/>
        <v>91.111111111111114</v>
      </c>
      <c r="Q39" s="15">
        <f t="shared" si="1"/>
        <v>328</v>
      </c>
      <c r="R39" s="15">
        <f t="shared" si="2"/>
        <v>360</v>
      </c>
      <c r="S39" s="16">
        <f>RANK(Q39,Q8:Q54)</f>
        <v>14</v>
      </c>
      <c r="U39"/>
      <c r="X39"/>
      <c r="AA39"/>
      <c r="AB39"/>
      <c r="AF39"/>
    </row>
    <row r="40" spans="2:32" ht="15" customHeight="1" x14ac:dyDescent="0.35">
      <c r="B40" s="78">
        <v>33</v>
      </c>
      <c r="C40" s="89" t="s">
        <v>87</v>
      </c>
      <c r="D40" s="90"/>
      <c r="E40" s="76">
        <v>50</v>
      </c>
      <c r="F40" s="13"/>
      <c r="G40" s="76">
        <v>27</v>
      </c>
      <c r="H40" s="14"/>
      <c r="I40" s="76">
        <v>66</v>
      </c>
      <c r="J40" s="14"/>
      <c r="K40" s="76">
        <v>58</v>
      </c>
      <c r="L40" s="14"/>
      <c r="M40" s="76">
        <v>26</v>
      </c>
      <c r="N40" s="14"/>
      <c r="O40" s="76">
        <v>65</v>
      </c>
      <c r="P40" s="18">
        <f t="shared" si="0"/>
        <v>81.111111111111114</v>
      </c>
      <c r="Q40" s="15">
        <f t="shared" si="1"/>
        <v>292</v>
      </c>
      <c r="R40" s="15">
        <f t="shared" si="2"/>
        <v>360</v>
      </c>
      <c r="S40" s="16">
        <f>RANK(Q40,Q8:Q54)</f>
        <v>32</v>
      </c>
      <c r="U40"/>
      <c r="X40"/>
      <c r="AA40"/>
      <c r="AB40"/>
      <c r="AF40"/>
    </row>
    <row r="41" spans="2:32" ht="15" customHeight="1" x14ac:dyDescent="0.35">
      <c r="B41" s="78">
        <v>34</v>
      </c>
      <c r="C41" s="89" t="s">
        <v>88</v>
      </c>
      <c r="D41" s="90"/>
      <c r="E41" s="76">
        <v>60</v>
      </c>
      <c r="F41" s="13"/>
      <c r="G41" s="76">
        <v>30</v>
      </c>
      <c r="H41" s="14"/>
      <c r="I41" s="76">
        <v>80</v>
      </c>
      <c r="J41" s="14"/>
      <c r="K41" s="76">
        <v>80</v>
      </c>
      <c r="L41" s="14"/>
      <c r="M41" s="76">
        <v>28</v>
      </c>
      <c r="N41" s="14"/>
      <c r="O41" s="76">
        <v>76</v>
      </c>
      <c r="P41" s="18">
        <f t="shared" si="0"/>
        <v>98.333333333333329</v>
      </c>
      <c r="Q41" s="15">
        <f t="shared" si="1"/>
        <v>354</v>
      </c>
      <c r="R41" s="15">
        <f t="shared" si="2"/>
        <v>360</v>
      </c>
      <c r="S41" s="16">
        <f>RANK(Q41,Q8:Q54)</f>
        <v>3</v>
      </c>
      <c r="U41"/>
      <c r="X41"/>
      <c r="AA41"/>
      <c r="AB41"/>
      <c r="AF41"/>
    </row>
    <row r="42" spans="2:32" ht="15" customHeight="1" x14ac:dyDescent="0.35">
      <c r="B42" s="78">
        <v>35</v>
      </c>
      <c r="C42" s="89" t="s">
        <v>89</v>
      </c>
      <c r="D42" s="90"/>
      <c r="E42" s="76">
        <v>60</v>
      </c>
      <c r="F42" s="13"/>
      <c r="G42" s="76">
        <v>23</v>
      </c>
      <c r="H42" s="14"/>
      <c r="I42" s="76">
        <v>78</v>
      </c>
      <c r="J42" s="14"/>
      <c r="K42" s="76">
        <v>80</v>
      </c>
      <c r="L42" s="14"/>
      <c r="M42" s="76">
        <v>26</v>
      </c>
      <c r="N42" s="14"/>
      <c r="O42" s="76">
        <v>58</v>
      </c>
      <c r="P42" s="18">
        <f t="shared" si="0"/>
        <v>90.277777777777786</v>
      </c>
      <c r="Q42" s="15">
        <f t="shared" si="1"/>
        <v>325</v>
      </c>
      <c r="R42" s="15">
        <f t="shared" si="2"/>
        <v>360</v>
      </c>
      <c r="S42" s="16">
        <f>RANK(Q42,Q8:Q54)</f>
        <v>17</v>
      </c>
      <c r="U42"/>
      <c r="X42"/>
      <c r="AA42"/>
      <c r="AB42"/>
      <c r="AF42"/>
    </row>
    <row r="43" spans="2:32" ht="15" customHeight="1" x14ac:dyDescent="0.35">
      <c r="B43" s="78">
        <v>36</v>
      </c>
      <c r="C43" s="89" t="s">
        <v>90</v>
      </c>
      <c r="D43" s="90"/>
      <c r="E43" s="76">
        <v>48</v>
      </c>
      <c r="F43" s="13"/>
      <c r="G43" s="76">
        <v>21</v>
      </c>
      <c r="H43" s="14"/>
      <c r="I43" s="76">
        <v>74</v>
      </c>
      <c r="J43" s="14"/>
      <c r="K43" s="76">
        <v>70</v>
      </c>
      <c r="L43" s="14"/>
      <c r="M43" s="76">
        <v>15</v>
      </c>
      <c r="N43" s="14"/>
      <c r="O43" s="76">
        <v>50</v>
      </c>
      <c r="P43" s="18">
        <f t="shared" si="0"/>
        <v>77.222222222222229</v>
      </c>
      <c r="Q43" s="15">
        <f t="shared" si="1"/>
        <v>278</v>
      </c>
      <c r="R43" s="15">
        <f t="shared" si="2"/>
        <v>360</v>
      </c>
      <c r="S43" s="16">
        <f>RANK(Q43,Q8:Q54)</f>
        <v>35</v>
      </c>
      <c r="U43"/>
      <c r="X43"/>
      <c r="AA43"/>
      <c r="AB43"/>
      <c r="AF43"/>
    </row>
    <row r="44" spans="2:32" ht="15" customHeight="1" x14ac:dyDescent="0.35">
      <c r="B44" s="78">
        <v>37</v>
      </c>
      <c r="C44" s="89" t="s">
        <v>91</v>
      </c>
      <c r="D44" s="90"/>
      <c r="E44" s="76">
        <v>58</v>
      </c>
      <c r="F44" s="13"/>
      <c r="G44" s="76">
        <v>28</v>
      </c>
      <c r="H44" s="14"/>
      <c r="I44" s="76">
        <v>80</v>
      </c>
      <c r="J44" s="14"/>
      <c r="K44" s="76">
        <v>80</v>
      </c>
      <c r="L44" s="14"/>
      <c r="M44" s="76">
        <v>27</v>
      </c>
      <c r="N44" s="14"/>
      <c r="O44" s="76">
        <v>76</v>
      </c>
      <c r="P44" s="18">
        <f t="shared" ref="P44:P49" si="3">+Q44/R44*100</f>
        <v>96.944444444444443</v>
      </c>
      <c r="Q44" s="15">
        <f t="shared" ref="Q44:Q49" si="4">+O44+M44+K44+I44+G44+E44</f>
        <v>349</v>
      </c>
      <c r="R44" s="15">
        <f t="shared" si="2"/>
        <v>360</v>
      </c>
      <c r="S44" s="16">
        <f>RANK(Q44,Q8:Q55)</f>
        <v>6</v>
      </c>
      <c r="U44"/>
      <c r="X44"/>
      <c r="AA44"/>
      <c r="AB44"/>
      <c r="AF44"/>
    </row>
    <row r="45" spans="2:32" ht="15" customHeight="1" x14ac:dyDescent="0.35">
      <c r="B45" s="78">
        <v>38</v>
      </c>
      <c r="C45" s="89" t="s">
        <v>92</v>
      </c>
      <c r="D45" s="90"/>
      <c r="E45" s="76">
        <v>60</v>
      </c>
      <c r="F45" s="13"/>
      <c r="G45" s="76">
        <v>28</v>
      </c>
      <c r="H45" s="14"/>
      <c r="I45" s="76">
        <v>80</v>
      </c>
      <c r="J45" s="14"/>
      <c r="K45" s="76">
        <v>80</v>
      </c>
      <c r="L45" s="14"/>
      <c r="M45" s="76">
        <v>28</v>
      </c>
      <c r="N45" s="14"/>
      <c r="O45" s="76">
        <v>70</v>
      </c>
      <c r="P45" s="18">
        <f t="shared" si="3"/>
        <v>96.111111111111114</v>
      </c>
      <c r="Q45" s="15">
        <f t="shared" si="4"/>
        <v>346</v>
      </c>
      <c r="R45" s="15">
        <f t="shared" si="2"/>
        <v>360</v>
      </c>
      <c r="S45" s="16">
        <f>RANK(Q45,Q8:Q56)</f>
        <v>7</v>
      </c>
      <c r="U45"/>
      <c r="X45"/>
      <c r="AA45"/>
      <c r="AB45"/>
      <c r="AF45"/>
    </row>
    <row r="46" spans="2:32" ht="15" customHeight="1" x14ac:dyDescent="0.35">
      <c r="B46" s="78">
        <v>39</v>
      </c>
      <c r="C46" s="89" t="s">
        <v>93</v>
      </c>
      <c r="D46" s="90"/>
      <c r="E46" s="76">
        <v>58</v>
      </c>
      <c r="F46" s="92"/>
      <c r="G46" s="76">
        <v>23</v>
      </c>
      <c r="H46" s="93"/>
      <c r="I46" s="76">
        <v>72</v>
      </c>
      <c r="J46" s="93"/>
      <c r="K46" s="76">
        <v>68</v>
      </c>
      <c r="L46" s="93"/>
      <c r="M46" s="76">
        <v>24</v>
      </c>
      <c r="N46" s="93"/>
      <c r="O46" s="76">
        <v>60</v>
      </c>
      <c r="P46" s="18">
        <f t="shared" si="3"/>
        <v>84.722222222222214</v>
      </c>
      <c r="Q46" s="15">
        <f t="shared" si="4"/>
        <v>305</v>
      </c>
      <c r="R46" s="15">
        <f t="shared" si="2"/>
        <v>360</v>
      </c>
      <c r="S46" s="16">
        <f>RANK(Q46,Q8:Q57)</f>
        <v>26</v>
      </c>
      <c r="U46"/>
      <c r="X46"/>
      <c r="AA46"/>
      <c r="AB46"/>
      <c r="AF46"/>
    </row>
    <row r="47" spans="2:32" ht="15" customHeight="1" x14ac:dyDescent="0.35">
      <c r="B47" s="78">
        <v>40</v>
      </c>
      <c r="C47" s="89" t="s">
        <v>94</v>
      </c>
      <c r="D47" s="90"/>
      <c r="E47" s="76">
        <v>58</v>
      </c>
      <c r="F47" s="79"/>
      <c r="G47" s="76">
        <v>22</v>
      </c>
      <c r="H47" s="79"/>
      <c r="I47" s="76">
        <v>80</v>
      </c>
      <c r="J47" s="79"/>
      <c r="K47" s="76">
        <v>68</v>
      </c>
      <c r="L47" s="79"/>
      <c r="M47" s="76">
        <v>21</v>
      </c>
      <c r="N47" s="79"/>
      <c r="O47" s="76">
        <v>60</v>
      </c>
      <c r="P47" s="18">
        <f t="shared" si="3"/>
        <v>85.833333333333329</v>
      </c>
      <c r="Q47" s="15">
        <f t="shared" si="4"/>
        <v>309</v>
      </c>
      <c r="R47" s="15">
        <f t="shared" si="2"/>
        <v>360</v>
      </c>
      <c r="S47" s="16">
        <f>RANK(Q47,Q8:Q58)</f>
        <v>23</v>
      </c>
      <c r="U47"/>
      <c r="X47"/>
      <c r="AA47"/>
      <c r="AB47"/>
      <c r="AF47"/>
    </row>
    <row r="48" spans="2:32" ht="15" customHeight="1" x14ac:dyDescent="0.35">
      <c r="B48" s="78">
        <v>41</v>
      </c>
      <c r="C48" s="89" t="s">
        <v>95</v>
      </c>
      <c r="D48" s="90"/>
      <c r="E48" s="76">
        <v>55</v>
      </c>
      <c r="F48" s="76"/>
      <c r="G48" s="76">
        <v>17</v>
      </c>
      <c r="H48" s="76"/>
      <c r="I48" s="76">
        <v>80</v>
      </c>
      <c r="J48" s="76"/>
      <c r="K48" s="76">
        <v>74</v>
      </c>
      <c r="L48" s="76"/>
      <c r="M48" s="76">
        <v>25</v>
      </c>
      <c r="N48" s="76"/>
      <c r="O48" s="76">
        <v>76</v>
      </c>
      <c r="P48" s="18">
        <f t="shared" si="3"/>
        <v>90.833333333333329</v>
      </c>
      <c r="Q48" s="15">
        <f t="shared" si="4"/>
        <v>327</v>
      </c>
      <c r="R48" s="15">
        <f t="shared" si="2"/>
        <v>360</v>
      </c>
      <c r="S48" s="16">
        <f>RANK(Q48,Q8:Q59)</f>
        <v>15</v>
      </c>
      <c r="U48"/>
      <c r="X48"/>
      <c r="AA48"/>
      <c r="AB48"/>
      <c r="AF48"/>
    </row>
    <row r="49" spans="2:32" ht="15" customHeight="1" x14ac:dyDescent="0.35">
      <c r="B49" s="78">
        <v>42</v>
      </c>
      <c r="C49" s="89" t="s">
        <v>96</v>
      </c>
      <c r="D49" s="90"/>
      <c r="E49" s="76">
        <v>53</v>
      </c>
      <c r="F49" s="76"/>
      <c r="G49" s="76">
        <v>27</v>
      </c>
      <c r="H49" s="76"/>
      <c r="I49" s="76">
        <v>54</v>
      </c>
      <c r="J49" s="76"/>
      <c r="K49" s="76">
        <v>70</v>
      </c>
      <c r="L49" s="76"/>
      <c r="M49" s="76">
        <v>29</v>
      </c>
      <c r="N49" s="76"/>
      <c r="O49" s="76">
        <v>58</v>
      </c>
      <c r="P49" s="18">
        <f t="shared" si="3"/>
        <v>80.833333333333329</v>
      </c>
      <c r="Q49" s="15">
        <f t="shared" si="4"/>
        <v>291</v>
      </c>
      <c r="R49" s="15">
        <f t="shared" si="2"/>
        <v>360</v>
      </c>
      <c r="S49" s="16">
        <f>RANK(Q49,Q8:Q60)</f>
        <v>34</v>
      </c>
      <c r="U49"/>
      <c r="X49"/>
      <c r="AA49"/>
      <c r="AB49"/>
      <c r="AF49"/>
    </row>
    <row r="50" spans="2:32" ht="15" customHeight="1" x14ac:dyDescent="0.35">
      <c r="B50" s="78">
        <v>43</v>
      </c>
      <c r="C50" s="89" t="s">
        <v>97</v>
      </c>
      <c r="D50" s="90"/>
      <c r="E50" s="76">
        <v>49</v>
      </c>
      <c r="F50" s="76"/>
      <c r="G50" s="76">
        <v>22</v>
      </c>
      <c r="H50" s="76"/>
      <c r="I50" s="76">
        <v>78</v>
      </c>
      <c r="J50" s="76"/>
      <c r="K50" s="76">
        <v>68</v>
      </c>
      <c r="L50" s="76"/>
      <c r="M50" s="76">
        <v>23</v>
      </c>
      <c r="N50" s="76"/>
      <c r="O50" s="76">
        <v>52</v>
      </c>
      <c r="P50" s="18">
        <f t="shared" ref="P50:P51" si="5">+Q50/R50*100</f>
        <v>81.111111111111114</v>
      </c>
      <c r="Q50" s="15">
        <f t="shared" ref="Q50:Q51" si="6">+O50+M50+K50+I50+G50+E50</f>
        <v>292</v>
      </c>
      <c r="R50" s="15">
        <f t="shared" si="2"/>
        <v>360</v>
      </c>
      <c r="S50" s="16">
        <f>RANK(Q50,Q8:Q61)</f>
        <v>32</v>
      </c>
      <c r="U50"/>
      <c r="X50"/>
      <c r="AA50"/>
      <c r="AB50"/>
      <c r="AF50"/>
    </row>
    <row r="51" spans="2:32" ht="15" customHeight="1" x14ac:dyDescent="0.35">
      <c r="B51" s="78">
        <v>44</v>
      </c>
      <c r="C51" s="89" t="s">
        <v>98</v>
      </c>
      <c r="D51" s="90"/>
      <c r="E51" s="76">
        <v>60</v>
      </c>
      <c r="F51" s="76"/>
      <c r="G51" s="76">
        <v>24</v>
      </c>
      <c r="H51" s="76"/>
      <c r="I51" s="76">
        <v>80</v>
      </c>
      <c r="J51" s="76"/>
      <c r="K51" s="76">
        <v>78</v>
      </c>
      <c r="L51" s="76"/>
      <c r="M51" s="76">
        <v>27</v>
      </c>
      <c r="N51" s="76"/>
      <c r="O51" s="76">
        <v>72</v>
      </c>
      <c r="P51" s="18">
        <f t="shared" si="5"/>
        <v>94.722222222222214</v>
      </c>
      <c r="Q51" s="15">
        <f t="shared" si="6"/>
        <v>341</v>
      </c>
      <c r="R51" s="15">
        <f t="shared" si="2"/>
        <v>360</v>
      </c>
      <c r="S51" s="16">
        <f>RANK(Q51,Q8:Q62)</f>
        <v>9</v>
      </c>
      <c r="U51"/>
      <c r="X51"/>
      <c r="AA51"/>
      <c r="AB51"/>
      <c r="AF51"/>
    </row>
    <row r="52" spans="2:32" ht="15.5" x14ac:dyDescent="0.35">
      <c r="B52" s="78"/>
      <c r="C52" s="89"/>
      <c r="D52" s="90"/>
      <c r="E52" s="76"/>
      <c r="F52" s="76"/>
      <c r="G52" s="76"/>
      <c r="H52" s="76"/>
      <c r="I52" s="76"/>
      <c r="J52" s="76"/>
      <c r="K52" s="76"/>
      <c r="L52" s="76"/>
      <c r="M52" s="76"/>
      <c r="N52" s="76"/>
      <c r="O52" s="76"/>
      <c r="P52" s="18"/>
      <c r="Q52" s="15">
        <f t="shared" ref="Q52:Q53" si="7">+O52+M52+K52+I52+G52+E52</f>
        <v>0</v>
      </c>
      <c r="R52" s="15">
        <f t="shared" si="2"/>
        <v>360</v>
      </c>
      <c r="S52" s="16">
        <f>RANK(Q52,Q8:Q63)</f>
        <v>45</v>
      </c>
    </row>
    <row r="53" spans="2:32" ht="15.5" x14ac:dyDescent="0.35">
      <c r="B53" s="78"/>
      <c r="C53" s="89"/>
      <c r="D53" s="90"/>
      <c r="E53" s="76"/>
      <c r="F53" s="76"/>
      <c r="G53" s="76"/>
      <c r="H53" s="76"/>
      <c r="I53" s="76"/>
      <c r="J53" s="76"/>
      <c r="K53" s="76"/>
      <c r="L53" s="76"/>
      <c r="M53" s="76"/>
      <c r="N53" s="76"/>
      <c r="O53" s="76"/>
      <c r="P53" s="18"/>
      <c r="Q53" s="15">
        <f t="shared" si="7"/>
        <v>0</v>
      </c>
      <c r="R53" s="15">
        <f t="shared" si="2"/>
        <v>360</v>
      </c>
      <c r="S53" s="16">
        <f>RANK(Q53,Q8:Q64)</f>
        <v>45</v>
      </c>
    </row>
  </sheetData>
  <protectedRanges>
    <protectedRange password="D7A1" sqref="D8:D47" name="Range1_1_1"/>
  </protectedRanges>
  <sortState ref="C8:S43">
    <sortCondition ref="C8:C43"/>
  </sortState>
  <mergeCells count="15">
    <mergeCell ref="D5:E5"/>
    <mergeCell ref="D6:E6"/>
    <mergeCell ref="F6:G6"/>
    <mergeCell ref="H6:I6"/>
    <mergeCell ref="AD3:AF3"/>
    <mergeCell ref="F3:G3"/>
    <mergeCell ref="L3:M3"/>
    <mergeCell ref="F5:G5"/>
    <mergeCell ref="H5:I5"/>
    <mergeCell ref="J5:K5"/>
    <mergeCell ref="L5:M5"/>
    <mergeCell ref="N5:O5"/>
    <mergeCell ref="L6:M6"/>
    <mergeCell ref="N6:O6"/>
    <mergeCell ref="J6:K6"/>
  </mergeCells>
  <conditionalFormatting sqref="B8:B53">
    <cfRule type="cellIs" dxfId="118" priority="311" stopIfTrue="1" operator="equal">
      <formula>0</formula>
    </cfRule>
  </conditionalFormatting>
  <conditionalFormatting sqref="B8:B53">
    <cfRule type="cellIs" dxfId="117" priority="310" stopIfTrue="1" operator="equal">
      <formula>0</formula>
    </cfRule>
  </conditionalFormatting>
  <conditionalFormatting sqref="B8:B53">
    <cfRule type="cellIs" dxfId="116" priority="308" stopIfTrue="1" operator="equal">
      <formula>0</formula>
    </cfRule>
    <cfRule type="cellIs" dxfId="115" priority="309" stopIfTrue="1" operator="equal">
      <formula>0</formula>
    </cfRule>
  </conditionalFormatting>
  <conditionalFormatting sqref="B8:B53">
    <cfRule type="duplicateValues" dxfId="114" priority="316" stopIfTrue="1"/>
  </conditionalFormatting>
  <conditionalFormatting sqref="C46:C47">
    <cfRule type="cellIs" dxfId="55" priority="51" stopIfTrue="1" operator="equal">
      <formula>0</formula>
    </cfRule>
    <cfRule type="cellIs" dxfId="54" priority="52" stopIfTrue="1" operator="equal">
      <formula>0</formula>
    </cfRule>
  </conditionalFormatting>
  <conditionalFormatting sqref="C47">
    <cfRule type="cellIs" dxfId="53" priority="53" stopIfTrue="1" operator="equal">
      <formula>0</formula>
    </cfRule>
    <cfRule type="cellIs" dxfId="52" priority="54" stopIfTrue="1" operator="equal">
      <formula>0</formula>
    </cfRule>
    <cfRule type="duplicateValues" dxfId="51" priority="55" stopIfTrue="1"/>
    <cfRule type="duplicateValues" dxfId="50" priority="56" stopIfTrue="1"/>
  </conditionalFormatting>
  <conditionalFormatting sqref="C46">
    <cfRule type="cellIs" dxfId="49" priority="47" stopIfTrue="1" operator="equal">
      <formula>0</formula>
    </cfRule>
    <cfRule type="cellIs" dxfId="48" priority="48" stopIfTrue="1" operator="equal">
      <formula>0</formula>
    </cfRule>
    <cfRule type="duplicateValues" dxfId="47" priority="49" stopIfTrue="1"/>
    <cfRule type="duplicateValues" dxfId="46" priority="50" stopIfTrue="1"/>
  </conditionalFormatting>
  <conditionalFormatting sqref="C25:C27 C14 C17:C19 C11:C12">
    <cfRule type="cellIs" dxfId="45" priority="24" stopIfTrue="1" operator="equal">
      <formula>0</formula>
    </cfRule>
  </conditionalFormatting>
  <conditionalFormatting sqref="C9:C10">
    <cfRule type="cellIs" dxfId="44" priority="19" stopIfTrue="1" operator="equal">
      <formula>0</formula>
    </cfRule>
  </conditionalFormatting>
  <conditionalFormatting sqref="C30">
    <cfRule type="cellIs" dxfId="43" priority="1" stopIfTrue="1" operator="equal">
      <formula>0</formula>
    </cfRule>
  </conditionalFormatting>
  <conditionalFormatting sqref="C40:C41">
    <cfRule type="cellIs" dxfId="42" priority="45" stopIfTrue="1" operator="equal">
      <formula>0</formula>
    </cfRule>
    <cfRule type="cellIs" dxfId="41" priority="46" stopIfTrue="1" operator="equal">
      <formula>0</formula>
    </cfRule>
  </conditionalFormatting>
  <conditionalFormatting sqref="C35">
    <cfRule type="cellIs" dxfId="40" priority="43" stopIfTrue="1" operator="equal">
      <formula>0</formula>
    </cfRule>
    <cfRule type="cellIs" dxfId="39" priority="44" stopIfTrue="1" operator="equal">
      <formula>0</formula>
    </cfRule>
  </conditionalFormatting>
  <conditionalFormatting sqref="C37">
    <cfRule type="cellIs" dxfId="38" priority="41" stopIfTrue="1" operator="equal">
      <formula>0</formula>
    </cfRule>
    <cfRule type="cellIs" dxfId="37" priority="42" stopIfTrue="1" operator="equal">
      <formula>0</formula>
    </cfRule>
  </conditionalFormatting>
  <conditionalFormatting sqref="C39">
    <cfRule type="cellIs" dxfId="36" priority="40" stopIfTrue="1" operator="equal">
      <formula>0</formula>
    </cfRule>
  </conditionalFormatting>
  <conditionalFormatting sqref="C39">
    <cfRule type="cellIs" dxfId="35" priority="38" stopIfTrue="1" operator="equal">
      <formula>0</formula>
    </cfRule>
    <cfRule type="cellIs" dxfId="34" priority="39" stopIfTrue="1" operator="equal">
      <formula>0</formula>
    </cfRule>
  </conditionalFormatting>
  <conditionalFormatting sqref="C43">
    <cfRule type="cellIs" dxfId="33" priority="36" stopIfTrue="1" operator="equal">
      <formula>0</formula>
    </cfRule>
    <cfRule type="cellIs" dxfId="32" priority="37" stopIfTrue="1" operator="equal">
      <formula>0</formula>
    </cfRule>
  </conditionalFormatting>
  <conditionalFormatting sqref="C42">
    <cfRule type="cellIs" dxfId="31" priority="34" stopIfTrue="1" operator="equal">
      <formula>0</formula>
    </cfRule>
    <cfRule type="cellIs" dxfId="30" priority="35" stopIfTrue="1" operator="equal">
      <formula>0</formula>
    </cfRule>
  </conditionalFormatting>
  <conditionalFormatting sqref="C45">
    <cfRule type="cellIs" dxfId="29" priority="32" stopIfTrue="1" operator="equal">
      <formula>0</formula>
    </cfRule>
    <cfRule type="cellIs" dxfId="28" priority="33" stopIfTrue="1" operator="equal">
      <formula>0</formula>
    </cfRule>
  </conditionalFormatting>
  <conditionalFormatting sqref="C33">
    <cfRule type="cellIs" dxfId="27" priority="30" stopIfTrue="1" operator="equal">
      <formula>0</formula>
    </cfRule>
    <cfRule type="cellIs" dxfId="26" priority="31" stopIfTrue="1" operator="equal">
      <formula>0</formula>
    </cfRule>
  </conditionalFormatting>
  <conditionalFormatting sqref="C33">
    <cfRule type="cellIs" dxfId="25" priority="29" stopIfTrue="1" operator="equal">
      <formula>0</formula>
    </cfRule>
  </conditionalFormatting>
  <conditionalFormatting sqref="C23">
    <cfRule type="cellIs" dxfId="24" priority="27" stopIfTrue="1" operator="equal">
      <formula>0</formula>
    </cfRule>
    <cfRule type="cellIs" dxfId="23" priority="28" stopIfTrue="1" operator="equal">
      <formula>0</formula>
    </cfRule>
  </conditionalFormatting>
  <conditionalFormatting sqref="C27">
    <cfRule type="cellIs" dxfId="22" priority="25" stopIfTrue="1" operator="equal">
      <formula>0</formula>
    </cfRule>
  </conditionalFormatting>
  <conditionalFormatting sqref="C25:C27">
    <cfRule type="duplicateValues" dxfId="21" priority="26" stopIfTrue="1"/>
  </conditionalFormatting>
  <conditionalFormatting sqref="C24">
    <cfRule type="cellIs" dxfId="20" priority="22" stopIfTrue="1" operator="equal">
      <formula>0</formula>
    </cfRule>
  </conditionalFormatting>
  <conditionalFormatting sqref="C24">
    <cfRule type="duplicateValues" dxfId="19" priority="23" stopIfTrue="1"/>
  </conditionalFormatting>
  <conditionalFormatting sqref="C13">
    <cfRule type="cellIs" dxfId="18" priority="20" stopIfTrue="1" operator="equal">
      <formula>0</formula>
    </cfRule>
  </conditionalFormatting>
  <conditionalFormatting sqref="C8">
    <cfRule type="cellIs" dxfId="17" priority="17" stopIfTrue="1" operator="equal">
      <formula>0</formula>
    </cfRule>
  </conditionalFormatting>
  <conditionalFormatting sqref="C8">
    <cfRule type="duplicateValues" dxfId="16" priority="18" stopIfTrue="1"/>
  </conditionalFormatting>
  <conditionalFormatting sqref="C11:C14">
    <cfRule type="duplicateValues" dxfId="15" priority="21" stopIfTrue="1"/>
  </conditionalFormatting>
  <conditionalFormatting sqref="C15">
    <cfRule type="cellIs" dxfId="14" priority="15" stopIfTrue="1" operator="equal">
      <formula>0</formula>
    </cfRule>
  </conditionalFormatting>
  <conditionalFormatting sqref="C15">
    <cfRule type="duplicateValues" dxfId="13" priority="14" stopIfTrue="1"/>
  </conditionalFormatting>
  <conditionalFormatting sqref="C15">
    <cfRule type="duplicateValues" dxfId="12" priority="16" stopIfTrue="1"/>
  </conditionalFormatting>
  <conditionalFormatting sqref="C21">
    <cfRule type="cellIs" dxfId="11" priority="12" stopIfTrue="1" operator="equal">
      <formula>0</formula>
    </cfRule>
  </conditionalFormatting>
  <conditionalFormatting sqref="C19">
    <cfRule type="cellIs" dxfId="10" priority="11" stopIfTrue="1" operator="equal">
      <formula>0</formula>
    </cfRule>
  </conditionalFormatting>
  <conditionalFormatting sqref="C17:C19">
    <cfRule type="duplicateValues" dxfId="9" priority="13" stopIfTrue="1"/>
  </conditionalFormatting>
  <conditionalFormatting sqref="C16">
    <cfRule type="cellIs" dxfId="8" priority="9" stopIfTrue="1" operator="equal">
      <formula>0</formula>
    </cfRule>
  </conditionalFormatting>
  <conditionalFormatting sqref="C16">
    <cfRule type="duplicateValues" dxfId="7" priority="10" stopIfTrue="1"/>
  </conditionalFormatting>
  <conditionalFormatting sqref="C20">
    <cfRule type="cellIs" dxfId="6" priority="7" stopIfTrue="1" operator="equal">
      <formula>0</formula>
    </cfRule>
  </conditionalFormatting>
  <conditionalFormatting sqref="C20">
    <cfRule type="duplicateValues" dxfId="5" priority="8" stopIfTrue="1"/>
  </conditionalFormatting>
  <conditionalFormatting sqref="C22">
    <cfRule type="cellIs" dxfId="4" priority="5" stopIfTrue="1" operator="equal">
      <formula>0</formula>
    </cfRule>
    <cfRule type="cellIs" dxfId="3" priority="6" stopIfTrue="1" operator="equal">
      <formula>0</formula>
    </cfRule>
  </conditionalFormatting>
  <conditionalFormatting sqref="C28:C29 C32">
    <cfRule type="cellIs" dxfId="2" priority="4" stopIfTrue="1" operator="equal">
      <formula>0</formula>
    </cfRule>
  </conditionalFormatting>
  <conditionalFormatting sqref="C31">
    <cfRule type="cellIs" dxfId="1" priority="2" stopIfTrue="1" operator="equal">
      <formula>0</formula>
    </cfRule>
  </conditionalFormatting>
  <conditionalFormatting sqref="C28:C31">
    <cfRule type="duplicateValues" dxfId="0" priority="3" stopIfTrue="1"/>
  </conditionalFormatting>
  <pageMargins left="0.7" right="0.7" top="0.75" bottom="0.75" header="0.3" footer="0.3"/>
  <pageSetup paperSize="9" scale="65" fitToWidth="0" orientation="landscape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52"/>
  <sheetViews>
    <sheetView workbookViewId="0">
      <selection activeCell="G7" sqref="G7"/>
    </sheetView>
  </sheetViews>
  <sheetFormatPr defaultRowHeight="14.5" x14ac:dyDescent="0.35"/>
  <cols>
    <col min="1" max="1" width="6.7265625" customWidth="1"/>
    <col min="2" max="2" width="28.453125" customWidth="1"/>
  </cols>
  <sheetData>
    <row r="1" spans="1:3" ht="18.5" x14ac:dyDescent="0.45">
      <c r="B1" s="85" t="s">
        <v>54</v>
      </c>
    </row>
    <row r="2" spans="1:3" ht="15.5" x14ac:dyDescent="0.35">
      <c r="A2" s="75" t="s">
        <v>21</v>
      </c>
      <c r="B2" s="74" t="s">
        <v>3</v>
      </c>
      <c r="C2" s="75" t="s">
        <v>19</v>
      </c>
    </row>
    <row r="3" spans="1:3" ht="15.5" x14ac:dyDescent="0.35">
      <c r="A3" s="80">
        <f>Summary!S14</f>
        <v>29</v>
      </c>
      <c r="B3" s="49" t="str">
        <f>Summary!C14</f>
        <v>ICYOMORO AGANZE Grayson</v>
      </c>
      <c r="C3" s="77">
        <f>Summary!P14</f>
        <v>83.333333333333343</v>
      </c>
    </row>
    <row r="4" spans="1:3" ht="15.5" x14ac:dyDescent="0.35">
      <c r="A4" s="80">
        <f>Summary!S10</f>
        <v>11</v>
      </c>
      <c r="B4" s="49" t="str">
        <f>Summary!C10</f>
        <v>GAJU  Anny</v>
      </c>
      <c r="C4" s="77">
        <f>Summary!P10</f>
        <v>92.222222222222229</v>
      </c>
    </row>
    <row r="5" spans="1:3" ht="15.5" x14ac:dyDescent="0.35">
      <c r="A5" s="80">
        <f>Summary!S17</f>
        <v>36</v>
      </c>
      <c r="B5" s="49" t="str">
        <f>Summary!C17</f>
        <v>INEZA CYIZERE Daicy</v>
      </c>
      <c r="C5" s="77">
        <f>Summary!P17</f>
        <v>75</v>
      </c>
    </row>
    <row r="6" spans="1:3" ht="15.5" x14ac:dyDescent="0.35">
      <c r="A6" s="80">
        <f>Summary!S33</f>
        <v>38</v>
      </c>
      <c r="B6" s="49" t="str">
        <f>Summary!C33</f>
        <v>MURAME  Saint Liam</v>
      </c>
      <c r="C6" s="77">
        <f>Summary!P33</f>
        <v>65.555555555555557</v>
      </c>
    </row>
    <row r="7" spans="1:3" ht="15.5" x14ac:dyDescent="0.35">
      <c r="A7" s="80">
        <f>Summary!S29</f>
        <v>19</v>
      </c>
      <c r="B7" s="49" t="str">
        <f>Summary!C29</f>
        <v>KWIZERA SHYAKA  Thibaut</v>
      </c>
      <c r="C7" s="77">
        <f>Summary!P29</f>
        <v>89.166666666666671</v>
      </c>
    </row>
    <row r="8" spans="1:3" ht="15.5" x14ac:dyDescent="0.35">
      <c r="A8" s="80">
        <f>Summary!S12</f>
        <v>42</v>
      </c>
      <c r="B8" s="49" t="str">
        <f>Summary!C12</f>
        <v>HIRWA  Ayman</v>
      </c>
      <c r="C8" s="77">
        <f>Summary!P12</f>
        <v>59.166666666666664</v>
      </c>
    </row>
    <row r="9" spans="1:3" ht="15.5" x14ac:dyDescent="0.35">
      <c r="A9" s="80">
        <f>Summary!S43</f>
        <v>35</v>
      </c>
      <c r="B9" s="49" t="str">
        <f>Summary!C43</f>
        <v>SHAMI Blaise</v>
      </c>
      <c r="C9" s="77">
        <f>Summary!P43</f>
        <v>77.222222222222229</v>
      </c>
    </row>
    <row r="10" spans="1:3" ht="15.5" x14ac:dyDescent="0.35">
      <c r="A10" s="80">
        <f>Summary!S27</f>
        <v>8</v>
      </c>
      <c r="B10" s="49" t="str">
        <f>Summary!C27</f>
        <v>KEZAKASE  Meghan</v>
      </c>
      <c r="C10" s="77">
        <f>Summary!P27</f>
        <v>95.833333333333343</v>
      </c>
    </row>
    <row r="11" spans="1:3" ht="15.5" x14ac:dyDescent="0.35">
      <c r="A11" s="80">
        <f>Summary!S25</f>
        <v>37</v>
      </c>
      <c r="B11" s="49" t="str">
        <f>Summary!C25</f>
        <v>KAGABA   Kevrin</v>
      </c>
      <c r="C11" s="77">
        <f>Summary!P25</f>
        <v>71.388888888888886</v>
      </c>
    </row>
    <row r="12" spans="1:3" ht="15.5" x14ac:dyDescent="0.35">
      <c r="A12" s="80">
        <f>Summary!S48</f>
        <v>15</v>
      </c>
      <c r="B12" s="49" t="str">
        <f>Summary!C48</f>
        <v>UMURERWA Believe</v>
      </c>
      <c r="C12" s="77">
        <f>Summary!P48</f>
        <v>90.833333333333329</v>
      </c>
    </row>
    <row r="13" spans="1:3" ht="15.5" x14ac:dyDescent="0.35">
      <c r="A13" s="80">
        <f>Summary!S36</f>
        <v>10</v>
      </c>
      <c r="B13" s="49" t="str">
        <f>Summary!C36</f>
        <v>NGABOYIMANZI Loic</v>
      </c>
      <c r="C13" s="77">
        <f>Summary!P36</f>
        <v>93.611111111111114</v>
      </c>
    </row>
    <row r="14" spans="1:3" ht="15.5" x14ac:dyDescent="0.35">
      <c r="A14" s="80">
        <f>Summary!S40</f>
        <v>32</v>
      </c>
      <c r="B14" s="49" t="str">
        <f>Summary!C40</f>
        <v>NTWARI Lucky Blaise</v>
      </c>
      <c r="C14" s="77">
        <f>Summary!P40</f>
        <v>81.111111111111114</v>
      </c>
    </row>
    <row r="15" spans="1:3" ht="15.5" x14ac:dyDescent="0.35">
      <c r="A15" s="80">
        <f>Summary!S41</f>
        <v>3</v>
      </c>
      <c r="B15" s="49" t="str">
        <f>Summary!C41</f>
        <v>NUTETE UTUJE Israa</v>
      </c>
      <c r="C15" s="77">
        <f>Summary!P41</f>
        <v>98.333333333333329</v>
      </c>
    </row>
    <row r="16" spans="1:3" ht="15.5" x14ac:dyDescent="0.35">
      <c r="A16" s="80">
        <f>Summary!S52</f>
        <v>45</v>
      </c>
      <c r="B16" s="49">
        <f>Summary!C52</f>
        <v>0</v>
      </c>
      <c r="C16" s="77">
        <f>Summary!P52</f>
        <v>0</v>
      </c>
    </row>
    <row r="17" spans="1:3" ht="15.5" x14ac:dyDescent="0.35">
      <c r="A17" s="80">
        <f>Summary!S49</f>
        <v>34</v>
      </c>
      <c r="B17" s="49" t="str">
        <f>Summary!C49</f>
        <v>UMWIZA IKIREZI Daisy</v>
      </c>
      <c r="C17" s="77">
        <f>Summary!P49</f>
        <v>80.833333333333329</v>
      </c>
    </row>
    <row r="18" spans="1:3" ht="15.5" x14ac:dyDescent="0.35">
      <c r="A18" s="80">
        <f>Summary!S46</f>
        <v>26</v>
      </c>
      <c r="B18" s="49" t="str">
        <f>Summary!C46</f>
        <v>TETERO NIMWIZA Iris</v>
      </c>
      <c r="C18" s="77">
        <f>Summary!P46</f>
        <v>84.722222222222214</v>
      </c>
    </row>
    <row r="19" spans="1:3" ht="15.5" x14ac:dyDescent="0.35">
      <c r="A19" s="80">
        <f>Summary!S39</f>
        <v>14</v>
      </c>
      <c r="B19" s="49" t="str">
        <f>Summary!C39</f>
        <v>NTWARI Charmant</v>
      </c>
      <c r="C19" s="77">
        <f>Summary!P39</f>
        <v>91.111111111111114</v>
      </c>
    </row>
    <row r="20" spans="1:3" ht="15.5" x14ac:dyDescent="0.35">
      <c r="A20" s="80">
        <f>Summary!S35</f>
        <v>5</v>
      </c>
      <c r="B20" s="49" t="str">
        <f>Summary!C35</f>
        <v>MURENZI  Galvin</v>
      </c>
      <c r="C20" s="77">
        <f>Summary!P35</f>
        <v>98.055555555555557</v>
      </c>
    </row>
    <row r="21" spans="1:3" ht="15.5" x14ac:dyDescent="0.35">
      <c r="A21" s="80">
        <f>Summary!S24</f>
        <v>27</v>
      </c>
      <c r="B21" s="49" t="str">
        <f>Summary!C24</f>
        <v>KABANZA IRIHO   Arda</v>
      </c>
      <c r="C21" s="77">
        <f>Summary!P24</f>
        <v>84.444444444444443</v>
      </c>
    </row>
    <row r="22" spans="1:3" ht="15.5" x14ac:dyDescent="0.35">
      <c r="A22" s="80">
        <f>Summary!S30</f>
        <v>28</v>
      </c>
      <c r="B22" s="49" t="str">
        <f>Summary!C30</f>
        <v>MANZI Aime  Bonheur</v>
      </c>
      <c r="C22" s="77">
        <f>Summary!P30</f>
        <v>83.611111111111114</v>
      </c>
    </row>
    <row r="23" spans="1:3" ht="15.5" x14ac:dyDescent="0.35">
      <c r="A23" s="80">
        <f>Summary!S42</f>
        <v>17</v>
      </c>
      <c r="B23" s="49" t="str">
        <f>Summary!C42</f>
        <v>NUWAYO ISHEJA Bella</v>
      </c>
      <c r="C23" s="77">
        <f>Summary!P42</f>
        <v>90.277777777777786</v>
      </c>
    </row>
    <row r="24" spans="1:3" ht="15.5" x14ac:dyDescent="0.35">
      <c r="A24" s="80">
        <f>Summary!S44</f>
        <v>6</v>
      </c>
      <c r="B24" s="49" t="str">
        <f>Summary!C44</f>
        <v>Shema Christe Estella</v>
      </c>
      <c r="C24" s="77">
        <f>Summary!P44</f>
        <v>96.944444444444443</v>
      </c>
    </row>
    <row r="25" spans="1:3" ht="15.5" x14ac:dyDescent="0.35">
      <c r="A25" s="80">
        <f>Summary!S18</f>
        <v>21</v>
      </c>
      <c r="B25" s="49" t="str">
        <f>Summary!C18</f>
        <v>IRADUKUNDA INEZA Pamella</v>
      </c>
      <c r="C25" s="77">
        <f>Summary!P18</f>
        <v>88.055555555555557</v>
      </c>
    </row>
    <row r="26" spans="1:3" ht="15.5" x14ac:dyDescent="0.35">
      <c r="A26" s="80">
        <f>Summary!S20</f>
        <v>25</v>
      </c>
      <c r="B26" s="49" t="str">
        <f>Summary!C20</f>
        <v>IRAYASOHOZA SHAMI   Baraka</v>
      </c>
      <c r="C26" s="77">
        <f>Summary!P20</f>
        <v>85</v>
      </c>
    </row>
    <row r="27" spans="1:3" ht="15.5" x14ac:dyDescent="0.35">
      <c r="A27" s="80">
        <f>Summary!S19</f>
        <v>31</v>
      </c>
      <c r="B27" s="49" t="str">
        <f>Summary!C19</f>
        <v>IRAKOZE  Yasipi</v>
      </c>
      <c r="C27" s="77">
        <f>Summary!P19</f>
        <v>82.777777777777771</v>
      </c>
    </row>
    <row r="28" spans="1:3" ht="15.5" x14ac:dyDescent="0.35">
      <c r="A28" s="80">
        <f>Summary!S32</f>
        <v>44</v>
      </c>
      <c r="B28" s="49" t="str">
        <f>Summary!C32</f>
        <v>MUHIRWA Junior</v>
      </c>
      <c r="C28" s="77">
        <f>Summary!P32</f>
        <v>22.5</v>
      </c>
    </row>
    <row r="29" spans="1:3" ht="15.5" x14ac:dyDescent="0.35">
      <c r="A29" s="80">
        <f>Summary!S8</f>
        <v>43</v>
      </c>
      <c r="B29" s="49" t="str">
        <f>Summary!C8</f>
        <v>AGATESI     Benita</v>
      </c>
      <c r="C29" s="77">
        <f>Summary!P8</f>
        <v>51.111111111111107</v>
      </c>
    </row>
    <row r="30" spans="1:3" ht="15.5" x14ac:dyDescent="0.35">
      <c r="A30" s="80">
        <f>Summary!S34</f>
        <v>16</v>
      </c>
      <c r="B30" s="49" t="str">
        <f>Summary!C34</f>
        <v>MURENZI  Calvin</v>
      </c>
      <c r="C30" s="77">
        <f>Summary!P34</f>
        <v>90.555555555555557</v>
      </c>
    </row>
    <row r="31" spans="1:3" ht="15.5" x14ac:dyDescent="0.35">
      <c r="A31" s="80">
        <f>Summary!S47</f>
        <v>23</v>
      </c>
      <c r="B31" s="49" t="str">
        <f>Summary!C47</f>
        <v>UMULISA Promesse</v>
      </c>
      <c r="C31" s="77">
        <f>Summary!P47</f>
        <v>85.833333333333329</v>
      </c>
    </row>
    <row r="32" spans="1:3" ht="15.5" x14ac:dyDescent="0.35">
      <c r="A32" s="80">
        <f>Summary!S13</f>
        <v>12</v>
      </c>
      <c r="B32" s="49" t="str">
        <f>Summary!C13</f>
        <v>HIRWA Elio  Rayan</v>
      </c>
      <c r="C32" s="77">
        <f>Summary!P13</f>
        <v>91.666666666666657</v>
      </c>
    </row>
    <row r="33" spans="1:3" ht="15.5" x14ac:dyDescent="0.35">
      <c r="A33" s="80">
        <f>Summary!S26</f>
        <v>17</v>
      </c>
      <c r="B33" s="49" t="str">
        <f>Summary!C26</f>
        <v>KALISA IRIHO Jeyden</v>
      </c>
      <c r="C33" s="77">
        <f>Summary!P26</f>
        <v>90.277777777777786</v>
      </c>
    </row>
    <row r="34" spans="1:3" ht="15.5" x14ac:dyDescent="0.35">
      <c r="A34" s="80">
        <f>Summary!S53</f>
        <v>45</v>
      </c>
      <c r="B34" s="49">
        <f>Summary!C53</f>
        <v>0</v>
      </c>
      <c r="C34" s="77">
        <f>Summary!P53</f>
        <v>0</v>
      </c>
    </row>
    <row r="35" spans="1:3" ht="15.5" x14ac:dyDescent="0.35">
      <c r="A35" s="80">
        <f>Summary!S38</f>
        <v>23</v>
      </c>
      <c r="B35" s="49" t="str">
        <f>Summary!C38</f>
        <v>NTIRIKINA Yvan Luc</v>
      </c>
      <c r="C35" s="77">
        <f>Summary!P38</f>
        <v>85.833333333333329</v>
      </c>
    </row>
    <row r="36" spans="1:3" ht="15.5" x14ac:dyDescent="0.35">
      <c r="A36" s="80">
        <f>Summary!S31</f>
        <v>1</v>
      </c>
      <c r="B36" s="49" t="str">
        <f>Summary!C31</f>
        <v>MUGISHA Alpha</v>
      </c>
      <c r="C36" s="77">
        <f>Summary!P31</f>
        <v>100</v>
      </c>
    </row>
    <row r="37" spans="1:3" ht="15.5" x14ac:dyDescent="0.35">
      <c r="A37" s="80">
        <f>Summary!S23</f>
        <v>40</v>
      </c>
      <c r="B37" s="49" t="str">
        <f>Summary!C23</f>
        <v>ISIMBI   Tiffah</v>
      </c>
      <c r="C37" s="77">
        <f>Summary!P23</f>
        <v>63.888888888888886</v>
      </c>
    </row>
    <row r="38" spans="1:3" ht="15.5" x14ac:dyDescent="0.35">
      <c r="A38" s="80">
        <f>Summary!S37</f>
        <v>12</v>
      </c>
      <c r="B38" s="49" t="str">
        <f>Summary!C37</f>
        <v>NIYIBIKORA Jehovanie</v>
      </c>
      <c r="C38" s="77">
        <f>Summary!P37</f>
        <v>91.666666666666657</v>
      </c>
    </row>
    <row r="39" spans="1:3" ht="15.5" x14ac:dyDescent="0.35">
      <c r="A39" s="80">
        <f>Summary!S45</f>
        <v>7</v>
      </c>
      <c r="B39" s="49" t="str">
        <f>Summary!C45</f>
        <v>SIBO JABO Besnik</v>
      </c>
      <c r="C39" s="77">
        <f>Summary!P45</f>
        <v>96.111111111111114</v>
      </c>
    </row>
    <row r="40" spans="1:3" ht="15.5" x14ac:dyDescent="0.35">
      <c r="A40" s="80">
        <f>Summary!S28</f>
        <v>30</v>
      </c>
      <c r="B40" s="49" t="str">
        <f>Summary!C28</f>
        <v>KWIHANGANA   Honestly</v>
      </c>
      <c r="C40" s="77">
        <f>Summary!P28</f>
        <v>83.055555555555557</v>
      </c>
    </row>
    <row r="41" spans="1:3" ht="15.5" x14ac:dyDescent="0.35">
      <c r="A41" s="80">
        <f>Summary!S11</f>
        <v>2</v>
      </c>
      <c r="B41" s="49" t="str">
        <f>Summary!C11</f>
        <v>GISUBIZO  Herve</v>
      </c>
      <c r="C41" s="77">
        <f>Summary!P11</f>
        <v>99.166666666666671</v>
      </c>
    </row>
    <row r="42" spans="1:3" ht="15.5" x14ac:dyDescent="0.35">
      <c r="A42" s="80">
        <f>Summary!S22</f>
        <v>20</v>
      </c>
      <c r="B42" s="49" t="str">
        <f>Summary!C22</f>
        <v>ISHAMI Honnette</v>
      </c>
      <c r="C42" s="77">
        <f>Summary!P22</f>
        <v>88.333333333333329</v>
      </c>
    </row>
    <row r="43" spans="1:3" ht="15.5" x14ac:dyDescent="0.35">
      <c r="A43" s="80">
        <f>Summary!S21</f>
        <v>3</v>
      </c>
      <c r="B43" s="49" t="str">
        <f>Summary!C21</f>
        <v>IREBE GIKUNDIRO Ella</v>
      </c>
      <c r="C43" s="77">
        <f>Summary!P21</f>
        <v>98.333333333333329</v>
      </c>
    </row>
    <row r="44" spans="1:3" ht="15.5" x14ac:dyDescent="0.35">
      <c r="A44" s="80">
        <f>Summary!S50</f>
        <v>32</v>
      </c>
      <c r="B44" s="49" t="str">
        <f>Summary!C50</f>
        <v>UWASE BERWA Doriane</v>
      </c>
      <c r="C44" s="77">
        <f>Summary!P50</f>
        <v>81.111111111111114</v>
      </c>
    </row>
    <row r="45" spans="1:3" ht="15.5" x14ac:dyDescent="0.35">
      <c r="A45" s="80">
        <f>Summary!S9</f>
        <v>41</v>
      </c>
      <c r="B45" s="49" t="str">
        <f>Summary!C9</f>
        <v>Akeza    Lena</v>
      </c>
      <c r="C45" s="77">
        <f>Summary!P9</f>
        <v>60.833333333333329</v>
      </c>
    </row>
    <row r="46" spans="1:3" ht="15.5" x14ac:dyDescent="0.35">
      <c r="A46" s="80">
        <f>Summary!S15</f>
        <v>21</v>
      </c>
      <c r="B46" s="49" t="str">
        <f>Summary!C15</f>
        <v>IHIRWE  Lena</v>
      </c>
      <c r="C46" s="77">
        <f>Summary!P15</f>
        <v>88.055555555555557</v>
      </c>
    </row>
    <row r="47" spans="1:3" ht="15.5" x14ac:dyDescent="0.35">
      <c r="A47" s="80">
        <f>Summary!S51</f>
        <v>9</v>
      </c>
      <c r="B47" s="49" t="str">
        <f>Summary!C51</f>
        <v>UWASE GISA Grace</v>
      </c>
      <c r="C47" s="77">
        <f>Summary!P51</f>
        <v>94.722222222222214</v>
      </c>
    </row>
    <row r="48" spans="1:3" ht="15.5" x14ac:dyDescent="0.35">
      <c r="A48" s="80">
        <f>Summary!S16</f>
        <v>39</v>
      </c>
      <c r="B48" s="49" t="str">
        <f>Summary!C16</f>
        <v>INEZA  Gaella</v>
      </c>
      <c r="C48" s="77">
        <f>Summary!P16</f>
        <v>64.444444444444443</v>
      </c>
    </row>
    <row r="49" spans="1:3" ht="15.5" x14ac:dyDescent="0.35">
      <c r="A49" s="80"/>
      <c r="B49" s="49"/>
      <c r="C49" s="77"/>
    </row>
    <row r="50" spans="1:3" ht="15.5" x14ac:dyDescent="0.35">
      <c r="A50" s="80"/>
      <c r="B50" s="49"/>
      <c r="C50" s="77"/>
    </row>
    <row r="51" spans="1:3" ht="15.5" x14ac:dyDescent="0.35">
      <c r="A51" s="80"/>
      <c r="B51" s="49"/>
      <c r="C51" s="77"/>
    </row>
    <row r="52" spans="1:3" ht="15.5" x14ac:dyDescent="0.35">
      <c r="A52" s="80"/>
      <c r="B52" s="49"/>
      <c r="C52" s="77"/>
    </row>
  </sheetData>
  <sortState ref="A3:C48">
    <sortCondition descending="1" ref="C3:C48"/>
  </sortState>
  <conditionalFormatting sqref="B3:B52">
    <cfRule type="cellIs" dxfId="57" priority="16" stopIfTrue="1" operator="equal">
      <formula>0</formula>
    </cfRule>
  </conditionalFormatting>
  <conditionalFormatting sqref="B3:B52">
    <cfRule type="duplicateValues" dxfId="56" priority="103" stopIfTrue="1"/>
  </conditionalFormatting>
  <pageMargins left="0.7" right="0.7" top="0.75" bottom="0.75" header="0.3" footer="0.3"/>
  <pageSetup paperSize="9" scale="90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842"/>
  <sheetViews>
    <sheetView showGridLines="0" showRowColHeaders="0" tabSelected="1" view="pageBreakPreview" topLeftCell="A383" zoomScale="83" zoomScaleSheetLayoutView="83" workbookViewId="0">
      <selection activeCell="B361" sqref="B361:K396"/>
    </sheetView>
  </sheetViews>
  <sheetFormatPr defaultRowHeight="14.5" x14ac:dyDescent="0.35"/>
  <cols>
    <col min="1" max="1" width="3.453125" customWidth="1"/>
    <col min="2" max="2" width="27.7265625" bestFit="1" customWidth="1"/>
    <col min="3" max="3" width="11.81640625" customWidth="1"/>
    <col min="4" max="4" width="15.1796875" customWidth="1"/>
    <col min="7" max="7" width="30" bestFit="1" customWidth="1"/>
    <col min="8" max="9" width="15" bestFit="1" customWidth="1"/>
  </cols>
  <sheetData>
    <row r="1" spans="2:11" x14ac:dyDescent="0.35">
      <c r="B1" s="20"/>
      <c r="C1" s="19"/>
      <c r="D1" s="19"/>
      <c r="E1" s="19"/>
      <c r="G1" s="20"/>
      <c r="H1" s="19"/>
      <c r="I1" s="19"/>
      <c r="J1" s="19"/>
    </row>
    <row r="2" spans="2:11" x14ac:dyDescent="0.35">
      <c r="B2" s="50"/>
      <c r="C2" s="51"/>
      <c r="D2" s="51"/>
      <c r="E2" s="51"/>
      <c r="F2" s="52"/>
      <c r="G2" s="50"/>
      <c r="H2" s="51"/>
      <c r="I2" s="51"/>
      <c r="J2" s="51"/>
      <c r="K2" s="52"/>
    </row>
    <row r="3" spans="2:11" x14ac:dyDescent="0.35">
      <c r="B3" s="50"/>
      <c r="C3" s="51"/>
      <c r="D3" s="51"/>
      <c r="E3" s="51"/>
      <c r="F3" s="52"/>
      <c r="G3" s="50"/>
      <c r="H3" s="51"/>
      <c r="I3" s="51"/>
      <c r="J3" s="51"/>
      <c r="K3" s="52"/>
    </row>
    <row r="4" spans="2:11" x14ac:dyDescent="0.35">
      <c r="B4" s="50"/>
      <c r="C4" s="51"/>
      <c r="D4" s="51"/>
      <c r="E4" s="51"/>
      <c r="F4" s="52"/>
      <c r="G4" s="50"/>
      <c r="H4" s="51"/>
      <c r="I4" s="51"/>
      <c r="J4" s="51"/>
      <c r="K4" s="52"/>
    </row>
    <row r="5" spans="2:11" x14ac:dyDescent="0.35">
      <c r="B5" s="50"/>
      <c r="C5" s="51"/>
      <c r="D5" s="51"/>
      <c r="E5" s="51"/>
      <c r="F5" s="52"/>
      <c r="G5" s="50"/>
      <c r="H5" s="51"/>
      <c r="I5" s="51"/>
      <c r="J5" s="51"/>
      <c r="K5" s="52"/>
    </row>
    <row r="6" spans="2:11" x14ac:dyDescent="0.35">
      <c r="B6" s="53" t="s">
        <v>22</v>
      </c>
      <c r="C6" s="53"/>
      <c r="D6" s="53" t="s">
        <v>29</v>
      </c>
      <c r="E6" s="53" t="str">
        <f>Summary!P3</f>
        <v>2025/2026</v>
      </c>
      <c r="F6" s="52"/>
      <c r="G6" s="53" t="s">
        <v>22</v>
      </c>
      <c r="H6" s="53"/>
      <c r="I6" s="53" t="s">
        <v>29</v>
      </c>
      <c r="J6" s="53" t="str">
        <f>E6</f>
        <v>2025/2026</v>
      </c>
      <c r="K6" s="52"/>
    </row>
    <row r="7" spans="2:11" x14ac:dyDescent="0.35">
      <c r="B7" s="53" t="s">
        <v>23</v>
      </c>
      <c r="C7" s="53"/>
      <c r="D7" s="53"/>
      <c r="E7" s="53"/>
      <c r="F7" s="52"/>
      <c r="G7" s="53" t="s">
        <v>23</v>
      </c>
      <c r="H7" s="53"/>
      <c r="I7" s="53"/>
      <c r="J7" s="53"/>
      <c r="K7" s="52"/>
    </row>
    <row r="8" spans="2:11" x14ac:dyDescent="0.35">
      <c r="B8" s="53" t="s">
        <v>24</v>
      </c>
      <c r="C8" s="53"/>
      <c r="D8" s="53" t="s">
        <v>41</v>
      </c>
      <c r="E8" s="53" t="str">
        <f>Summary!D3</f>
        <v>P1-A</v>
      </c>
      <c r="F8" s="52"/>
      <c r="G8" s="53" t="s">
        <v>24</v>
      </c>
      <c r="H8" s="53"/>
      <c r="I8" s="53" t="s">
        <v>41</v>
      </c>
      <c r="J8" s="53" t="str">
        <f>E8</f>
        <v>P1-A</v>
      </c>
      <c r="K8" s="52"/>
    </row>
    <row r="9" spans="2:11" x14ac:dyDescent="0.35">
      <c r="B9" s="53" t="s">
        <v>25</v>
      </c>
      <c r="C9" s="53"/>
      <c r="D9" s="53"/>
      <c r="E9" s="52"/>
      <c r="F9" s="52"/>
      <c r="G9" s="53" t="s">
        <v>25</v>
      </c>
      <c r="H9" s="53"/>
      <c r="I9" s="53"/>
      <c r="J9" s="52"/>
      <c r="K9" s="52"/>
    </row>
    <row r="10" spans="2:11" x14ac:dyDescent="0.35">
      <c r="B10" s="53" t="s">
        <v>26</v>
      </c>
      <c r="C10" s="53"/>
      <c r="D10" s="53"/>
      <c r="E10" s="53"/>
      <c r="F10" s="52"/>
      <c r="G10" s="53" t="s">
        <v>26</v>
      </c>
      <c r="H10" s="53"/>
      <c r="I10" s="53"/>
      <c r="J10" s="53"/>
      <c r="K10" s="52"/>
    </row>
    <row r="11" spans="2:11" x14ac:dyDescent="0.35">
      <c r="B11" s="53" t="s">
        <v>9</v>
      </c>
      <c r="C11" s="53"/>
      <c r="D11" s="53" t="s">
        <v>12</v>
      </c>
      <c r="E11" s="53" t="str">
        <f>Summary!L3</f>
        <v xml:space="preserve"> INFERIEUR</v>
      </c>
      <c r="F11" s="52"/>
      <c r="G11" s="53" t="s">
        <v>9</v>
      </c>
      <c r="H11" s="53"/>
      <c r="I11" s="53" t="s">
        <v>12</v>
      </c>
      <c r="J11" s="53" t="str">
        <f>E11</f>
        <v xml:space="preserve"> INFERIEUR</v>
      </c>
      <c r="K11" s="52"/>
    </row>
    <row r="12" spans="2:11" x14ac:dyDescent="0.35">
      <c r="B12" s="53" t="s">
        <v>10</v>
      </c>
      <c r="C12" s="53"/>
      <c r="D12" s="53"/>
      <c r="E12" s="53"/>
      <c r="F12" s="52"/>
      <c r="G12" s="53" t="s">
        <v>10</v>
      </c>
      <c r="H12" s="53"/>
      <c r="I12" s="53"/>
      <c r="J12" s="53"/>
      <c r="K12" s="52"/>
    </row>
    <row r="13" spans="2:11" x14ac:dyDescent="0.35">
      <c r="B13" s="53" t="s">
        <v>27</v>
      </c>
      <c r="C13" s="53"/>
      <c r="D13" s="53"/>
      <c r="E13" s="53"/>
      <c r="F13" s="52"/>
      <c r="G13" s="53" t="s">
        <v>27</v>
      </c>
      <c r="H13" s="53"/>
      <c r="I13" s="53"/>
      <c r="J13" s="53"/>
      <c r="K13" s="52"/>
    </row>
    <row r="14" spans="2:11" ht="15" thickBot="1" x14ac:dyDescent="0.4">
      <c r="B14" s="53"/>
      <c r="C14" s="54"/>
      <c r="D14" s="54"/>
      <c r="E14" s="54"/>
      <c r="F14" s="52"/>
      <c r="G14" s="53"/>
      <c r="H14" s="54"/>
      <c r="I14" s="54"/>
      <c r="J14" s="54"/>
      <c r="K14" s="52"/>
    </row>
    <row r="15" spans="2:11" ht="15.5" thickTop="1" thickBot="1" x14ac:dyDescent="0.4">
      <c r="B15" s="53"/>
      <c r="C15" s="23" t="s">
        <v>42</v>
      </c>
      <c r="D15" s="23"/>
      <c r="E15" s="53"/>
      <c r="F15" s="52"/>
      <c r="G15" s="53"/>
      <c r="H15" s="23" t="s">
        <v>42</v>
      </c>
      <c r="I15" s="23"/>
      <c r="J15" s="53"/>
      <c r="K15" s="52"/>
    </row>
    <row r="16" spans="2:11" ht="15.5" thickTop="1" thickBot="1" x14ac:dyDescent="0.4">
      <c r="B16" s="53" t="s">
        <v>40</v>
      </c>
      <c r="C16" s="123" t="str">
        <f>Summary!C8</f>
        <v>AGATESI     Benita</v>
      </c>
      <c r="D16" s="123"/>
      <c r="E16" s="55"/>
      <c r="F16" s="52"/>
      <c r="G16" s="53" t="s">
        <v>40</v>
      </c>
      <c r="H16" s="123" t="str">
        <f>Summary!C9</f>
        <v>Akeza    Lena</v>
      </c>
      <c r="I16" s="123"/>
      <c r="J16" s="55"/>
      <c r="K16" s="52"/>
    </row>
    <row r="17" spans="2:11" ht="15" thickTop="1" x14ac:dyDescent="0.35">
      <c r="B17" s="124" t="s">
        <v>43</v>
      </c>
      <c r="C17" s="126" t="s">
        <v>37</v>
      </c>
      <c r="D17" s="127"/>
      <c r="E17" s="56"/>
      <c r="F17" s="52"/>
      <c r="G17" s="124" t="s">
        <v>43</v>
      </c>
      <c r="H17" s="126" t="s">
        <v>37</v>
      </c>
      <c r="I17" s="127"/>
      <c r="J17" s="56"/>
      <c r="K17" s="52"/>
    </row>
    <row r="18" spans="2:11" ht="15" thickBot="1" x14ac:dyDescent="0.4">
      <c r="B18" s="125"/>
      <c r="C18" s="57" t="s">
        <v>39</v>
      </c>
      <c r="D18" s="58" t="s">
        <v>38</v>
      </c>
      <c r="E18" s="54"/>
      <c r="F18" s="52"/>
      <c r="G18" s="125"/>
      <c r="H18" s="57" t="s">
        <v>39</v>
      </c>
      <c r="I18" s="58" t="s">
        <v>38</v>
      </c>
      <c r="J18" s="54"/>
      <c r="K18" s="52"/>
    </row>
    <row r="19" spans="2:11" ht="15" thickTop="1" x14ac:dyDescent="0.35">
      <c r="B19" s="59" t="s">
        <v>15</v>
      </c>
      <c r="C19" s="60">
        <f>Summary!D5</f>
        <v>60</v>
      </c>
      <c r="D19" s="61">
        <f>Summary!E8</f>
        <v>32</v>
      </c>
      <c r="E19" s="54"/>
      <c r="F19" s="52"/>
      <c r="G19" s="59" t="s">
        <v>15</v>
      </c>
      <c r="H19" s="60">
        <f t="shared" ref="H19:H24" si="0">C19</f>
        <v>60</v>
      </c>
      <c r="I19" s="61">
        <f>Summary!E9</f>
        <v>46</v>
      </c>
      <c r="J19" s="54"/>
      <c r="K19" s="52"/>
    </row>
    <row r="20" spans="2:11" x14ac:dyDescent="0.35">
      <c r="B20" s="59" t="s">
        <v>30</v>
      </c>
      <c r="C20" s="60">
        <f>Summary!F5</f>
        <v>30</v>
      </c>
      <c r="D20" s="61">
        <f>Summary!G8</f>
        <v>12</v>
      </c>
      <c r="E20" s="54"/>
      <c r="F20" s="52"/>
      <c r="G20" s="59" t="s">
        <v>30</v>
      </c>
      <c r="H20" s="60">
        <f t="shared" si="0"/>
        <v>30</v>
      </c>
      <c r="I20" s="61">
        <f>Summary!G9</f>
        <v>19</v>
      </c>
      <c r="J20" s="54"/>
      <c r="K20" s="52"/>
    </row>
    <row r="21" spans="2:11" x14ac:dyDescent="0.35">
      <c r="B21" s="59" t="s">
        <v>4</v>
      </c>
      <c r="C21" s="60">
        <f>Summary!H5</f>
        <v>80</v>
      </c>
      <c r="D21" s="61">
        <f>Summary!I8</f>
        <v>60</v>
      </c>
      <c r="E21" s="54"/>
      <c r="F21" s="52"/>
      <c r="G21" s="59" t="s">
        <v>4</v>
      </c>
      <c r="H21" s="60">
        <f t="shared" si="0"/>
        <v>80</v>
      </c>
      <c r="I21" s="61">
        <f>Summary!I9</f>
        <v>72</v>
      </c>
      <c r="J21" s="54"/>
      <c r="K21" s="52"/>
    </row>
    <row r="22" spans="2:11" x14ac:dyDescent="0.35">
      <c r="B22" s="62" t="s">
        <v>5</v>
      </c>
      <c r="C22" s="60">
        <f>Summary!J5</f>
        <v>80</v>
      </c>
      <c r="D22" s="61">
        <f>Summary!K8</f>
        <v>30</v>
      </c>
      <c r="E22" s="54"/>
      <c r="F22" s="52"/>
      <c r="G22" s="62" t="s">
        <v>5</v>
      </c>
      <c r="H22" s="60">
        <f t="shared" si="0"/>
        <v>80</v>
      </c>
      <c r="I22" s="61">
        <f>Summary!K9</f>
        <v>32</v>
      </c>
      <c r="J22" s="54"/>
      <c r="K22" s="52"/>
    </row>
    <row r="23" spans="2:11" x14ac:dyDescent="0.35">
      <c r="B23" s="62" t="s">
        <v>17</v>
      </c>
      <c r="C23" s="60">
        <f>Summary!L5</f>
        <v>30</v>
      </c>
      <c r="D23" s="61">
        <f>Summary!M8</f>
        <v>22</v>
      </c>
      <c r="E23" s="54"/>
      <c r="F23" s="52"/>
      <c r="G23" s="62" t="s">
        <v>17</v>
      </c>
      <c r="H23" s="60">
        <f t="shared" si="0"/>
        <v>30</v>
      </c>
      <c r="I23" s="61">
        <f>Summary!M9</f>
        <v>22</v>
      </c>
      <c r="J23" s="54"/>
      <c r="K23" s="52"/>
    </row>
    <row r="24" spans="2:11" ht="15" thickBot="1" x14ac:dyDescent="0.4">
      <c r="B24" s="62" t="s">
        <v>46</v>
      </c>
      <c r="C24" s="60">
        <f>Summary!N5</f>
        <v>80</v>
      </c>
      <c r="D24" s="61">
        <f>Summary!O8</f>
        <v>28</v>
      </c>
      <c r="E24" s="54"/>
      <c r="F24" s="52"/>
      <c r="G24" s="62" t="s">
        <v>46</v>
      </c>
      <c r="H24" s="60">
        <f t="shared" si="0"/>
        <v>80</v>
      </c>
      <c r="I24" s="61">
        <f>Summary!O9</f>
        <v>28</v>
      </c>
      <c r="J24" s="54"/>
      <c r="K24" s="52"/>
    </row>
    <row r="25" spans="2:11" ht="15.5" thickTop="1" thickBot="1" x14ac:dyDescent="0.4">
      <c r="B25" s="63" t="s">
        <v>11</v>
      </c>
      <c r="C25" s="64">
        <f>SUM(C19:C24)</f>
        <v>360</v>
      </c>
      <c r="D25" s="65">
        <f>SUM(D19:D24)</f>
        <v>184</v>
      </c>
      <c r="E25" s="54"/>
      <c r="F25" s="52"/>
      <c r="G25" s="63" t="s">
        <v>11</v>
      </c>
      <c r="H25" s="64">
        <f>SUM(H19:H24)</f>
        <v>360</v>
      </c>
      <c r="I25" s="65">
        <f>SUM(I19:I24)</f>
        <v>219</v>
      </c>
      <c r="J25" s="54"/>
      <c r="K25" s="52"/>
    </row>
    <row r="26" spans="2:11" ht="15.5" thickTop="1" thickBot="1" x14ac:dyDescent="0.4">
      <c r="B26" s="66" t="s">
        <v>32</v>
      </c>
      <c r="C26" s="128">
        <f>D25/C25</f>
        <v>0.51111111111111107</v>
      </c>
      <c r="D26" s="133"/>
      <c r="E26" s="54"/>
      <c r="F26" s="52"/>
      <c r="G26" s="66" t="s">
        <v>32</v>
      </c>
      <c r="H26" s="128">
        <f>I25/H25</f>
        <v>0.60833333333333328</v>
      </c>
      <c r="I26" s="129"/>
      <c r="J26" s="54"/>
      <c r="K26" s="52"/>
    </row>
    <row r="27" spans="2:11" ht="15.5" thickTop="1" thickBot="1" x14ac:dyDescent="0.4">
      <c r="B27" s="63" t="s">
        <v>21</v>
      </c>
      <c r="C27" s="82">
        <f>Summary!S8</f>
        <v>43</v>
      </c>
      <c r="D27" s="81">
        <f>Summary!S7</f>
        <v>44</v>
      </c>
      <c r="E27" s="54"/>
      <c r="F27" s="52"/>
      <c r="G27" s="63" t="s">
        <v>21</v>
      </c>
      <c r="H27" s="83">
        <f>Summary!S9</f>
        <v>41</v>
      </c>
      <c r="I27" s="81">
        <f>Summary!S7</f>
        <v>44</v>
      </c>
      <c r="J27" s="54"/>
      <c r="K27" s="52"/>
    </row>
    <row r="28" spans="2:11" ht="30" thickTop="1" thickBot="1" x14ac:dyDescent="0.4">
      <c r="B28" s="67" t="s">
        <v>33</v>
      </c>
      <c r="C28" s="134"/>
      <c r="D28" s="132"/>
      <c r="E28" s="54"/>
      <c r="F28" s="52"/>
      <c r="G28" s="67" t="s">
        <v>33</v>
      </c>
      <c r="H28" s="134"/>
      <c r="I28" s="135"/>
      <c r="J28" s="54"/>
      <c r="K28" s="52"/>
    </row>
    <row r="29" spans="2:11" ht="49.15" customHeight="1" thickTop="1" thickBot="1" x14ac:dyDescent="0.4">
      <c r="B29" s="67" t="s">
        <v>34</v>
      </c>
      <c r="C29" s="131"/>
      <c r="D29" s="132"/>
      <c r="E29" s="54"/>
      <c r="F29" s="52"/>
      <c r="G29" s="67" t="s">
        <v>34</v>
      </c>
      <c r="H29" s="131"/>
      <c r="I29" s="132"/>
      <c r="J29" s="54"/>
      <c r="K29" s="52"/>
    </row>
    <row r="30" spans="2:11" ht="15" thickTop="1" x14ac:dyDescent="0.35">
      <c r="B30" s="50"/>
      <c r="C30" s="51"/>
      <c r="D30" s="51"/>
      <c r="E30" s="51"/>
      <c r="F30" s="52"/>
      <c r="G30" s="50"/>
      <c r="H30" s="51"/>
      <c r="I30" s="51"/>
      <c r="J30" s="51"/>
      <c r="K30" s="52"/>
    </row>
    <row r="31" spans="2:11" x14ac:dyDescent="0.35">
      <c r="B31" s="130" t="s">
        <v>35</v>
      </c>
      <c r="C31" s="130"/>
      <c r="D31" s="52"/>
      <c r="E31" s="52"/>
      <c r="F31" s="52"/>
      <c r="G31" s="130" t="s">
        <v>35</v>
      </c>
      <c r="H31" s="130"/>
      <c r="I31" s="52"/>
      <c r="J31" s="52"/>
      <c r="K31" s="52"/>
    </row>
    <row r="32" spans="2:11" x14ac:dyDescent="0.35">
      <c r="B32" s="68" t="s">
        <v>45</v>
      </c>
      <c r="C32" s="69">
        <f>Summary!H3</f>
        <v>45975</v>
      </c>
      <c r="D32" s="52"/>
      <c r="E32" s="52"/>
      <c r="F32" s="52"/>
      <c r="G32" s="68" t="s">
        <v>45</v>
      </c>
      <c r="H32" s="69">
        <f>C32</f>
        <v>45975</v>
      </c>
      <c r="I32" s="52"/>
      <c r="J32" s="52"/>
      <c r="K32" s="52"/>
    </row>
    <row r="33" spans="2:11" x14ac:dyDescent="0.35">
      <c r="B33" s="50"/>
      <c r="C33" s="51"/>
      <c r="D33" s="51"/>
      <c r="E33" s="51"/>
      <c r="F33" s="52"/>
      <c r="G33" s="50"/>
      <c r="H33" s="51"/>
      <c r="I33" s="51"/>
      <c r="J33" s="51"/>
      <c r="K33" s="52"/>
    </row>
    <row r="34" spans="2:11" x14ac:dyDescent="0.35">
      <c r="B34" s="50"/>
      <c r="C34" s="130"/>
      <c r="D34" s="130"/>
      <c r="E34" s="130"/>
      <c r="F34" s="130"/>
      <c r="G34" s="50"/>
      <c r="H34" s="130"/>
      <c r="I34" s="130"/>
      <c r="J34" s="130"/>
      <c r="K34" s="130"/>
    </row>
    <row r="35" spans="2:11" x14ac:dyDescent="0.35">
      <c r="B35" s="52"/>
      <c r="C35" s="130"/>
      <c r="D35" s="130"/>
      <c r="E35" s="130"/>
      <c r="F35" s="51"/>
      <c r="G35" s="52"/>
      <c r="H35" s="130"/>
      <c r="I35" s="130"/>
      <c r="J35" s="130"/>
      <c r="K35" s="51"/>
    </row>
    <row r="36" spans="2:11" x14ac:dyDescent="0.35">
      <c r="B36" s="52"/>
      <c r="C36" s="52"/>
      <c r="D36" s="52"/>
      <c r="E36" s="52"/>
      <c r="F36" s="52"/>
      <c r="G36" s="52"/>
      <c r="H36" s="52"/>
      <c r="I36" s="52"/>
      <c r="J36" s="52"/>
      <c r="K36" s="52"/>
    </row>
    <row r="37" spans="2:11" x14ac:dyDescent="0.35">
      <c r="B37" s="50"/>
      <c r="C37" s="51"/>
      <c r="D37" s="51"/>
      <c r="E37" s="51"/>
      <c r="F37" s="52"/>
      <c r="G37" s="50"/>
      <c r="H37" s="51"/>
      <c r="I37" s="51"/>
      <c r="J37" s="51"/>
      <c r="K37" s="52"/>
    </row>
    <row r="38" spans="2:11" x14ac:dyDescent="0.35">
      <c r="B38" s="50"/>
      <c r="C38" s="51"/>
      <c r="D38" s="51"/>
      <c r="E38" s="51"/>
      <c r="F38" s="52"/>
      <c r="G38" s="50"/>
      <c r="H38" s="51"/>
      <c r="I38" s="51"/>
      <c r="J38" s="51"/>
      <c r="K38" s="52"/>
    </row>
    <row r="39" spans="2:11" x14ac:dyDescent="0.35">
      <c r="B39" s="50"/>
      <c r="C39" s="51"/>
      <c r="D39" s="51"/>
      <c r="E39" s="51"/>
      <c r="F39" s="52"/>
      <c r="G39" s="50"/>
      <c r="H39" s="51"/>
      <c r="I39" s="51"/>
      <c r="J39" s="51"/>
      <c r="K39" s="52"/>
    </row>
    <row r="40" spans="2:11" x14ac:dyDescent="0.35">
      <c r="B40" s="50"/>
      <c r="C40" s="51"/>
      <c r="D40" s="51"/>
      <c r="E40" s="51"/>
      <c r="F40" s="52"/>
      <c r="G40" s="50"/>
      <c r="H40" s="51"/>
      <c r="I40" s="51"/>
      <c r="J40" s="51"/>
      <c r="K40" s="52"/>
    </row>
    <row r="41" spans="2:11" x14ac:dyDescent="0.35">
      <c r="B41" s="50"/>
      <c r="C41" s="51"/>
      <c r="D41" s="51"/>
      <c r="E41" s="51"/>
      <c r="F41" s="52"/>
      <c r="G41" s="50"/>
      <c r="H41" s="51"/>
      <c r="I41" s="51"/>
      <c r="J41" s="51"/>
      <c r="K41" s="52"/>
    </row>
    <row r="42" spans="2:11" x14ac:dyDescent="0.35">
      <c r="B42" s="53" t="s">
        <v>22</v>
      </c>
      <c r="C42" s="53"/>
      <c r="D42" s="53" t="s">
        <v>29</v>
      </c>
      <c r="E42" s="53" t="str">
        <f>E6</f>
        <v>2025/2026</v>
      </c>
      <c r="F42" s="52"/>
      <c r="G42" s="53" t="s">
        <v>22</v>
      </c>
      <c r="H42" s="53"/>
      <c r="I42" s="53" t="s">
        <v>29</v>
      </c>
      <c r="J42" s="53" t="str">
        <f>E42</f>
        <v>2025/2026</v>
      </c>
      <c r="K42" s="52"/>
    </row>
    <row r="43" spans="2:11" x14ac:dyDescent="0.35">
      <c r="B43" s="53" t="s">
        <v>23</v>
      </c>
      <c r="C43" s="53"/>
      <c r="D43" s="53"/>
      <c r="E43" s="53"/>
      <c r="F43" s="52"/>
      <c r="G43" s="53" t="s">
        <v>23</v>
      </c>
      <c r="H43" s="53"/>
      <c r="I43" s="53"/>
      <c r="J43" s="53"/>
      <c r="K43" s="52"/>
    </row>
    <row r="44" spans="2:11" x14ac:dyDescent="0.35">
      <c r="B44" s="53" t="s">
        <v>24</v>
      </c>
      <c r="C44" s="53"/>
      <c r="D44" s="53" t="s">
        <v>41</v>
      </c>
      <c r="E44" s="53" t="str">
        <f>E8</f>
        <v>P1-A</v>
      </c>
      <c r="F44" s="52"/>
      <c r="G44" s="53" t="s">
        <v>24</v>
      </c>
      <c r="H44" s="53"/>
      <c r="I44" s="53" t="s">
        <v>41</v>
      </c>
      <c r="J44" s="53" t="str">
        <f>E44</f>
        <v>P1-A</v>
      </c>
      <c r="K44" s="52"/>
    </row>
    <row r="45" spans="2:11" x14ac:dyDescent="0.35">
      <c r="B45" s="53" t="s">
        <v>25</v>
      </c>
      <c r="C45" s="53"/>
      <c r="D45" s="53"/>
      <c r="E45" s="52"/>
      <c r="F45" s="52"/>
      <c r="G45" s="53" t="s">
        <v>25</v>
      </c>
      <c r="H45" s="53"/>
      <c r="I45" s="53"/>
      <c r="J45" s="52"/>
      <c r="K45" s="52"/>
    </row>
    <row r="46" spans="2:11" x14ac:dyDescent="0.35">
      <c r="B46" s="53" t="s">
        <v>26</v>
      </c>
      <c r="C46" s="53"/>
      <c r="D46" s="53"/>
      <c r="E46" s="53"/>
      <c r="F46" s="52"/>
      <c r="G46" s="53" t="s">
        <v>26</v>
      </c>
      <c r="H46" s="53"/>
      <c r="I46" s="53"/>
      <c r="J46" s="53"/>
      <c r="K46" s="52"/>
    </row>
    <row r="47" spans="2:11" x14ac:dyDescent="0.35">
      <c r="B47" s="53" t="s">
        <v>9</v>
      </c>
      <c r="C47" s="53"/>
      <c r="D47" s="53" t="s">
        <v>12</v>
      </c>
      <c r="E47" s="53" t="str">
        <f>E11</f>
        <v xml:space="preserve"> INFERIEUR</v>
      </c>
      <c r="F47" s="52"/>
      <c r="G47" s="53" t="s">
        <v>9</v>
      </c>
      <c r="H47" s="53"/>
      <c r="I47" s="53" t="s">
        <v>12</v>
      </c>
      <c r="J47" s="53" t="str">
        <f>E47</f>
        <v xml:space="preserve"> INFERIEUR</v>
      </c>
      <c r="K47" s="52"/>
    </row>
    <row r="48" spans="2:11" x14ac:dyDescent="0.35">
      <c r="B48" s="53" t="s">
        <v>10</v>
      </c>
      <c r="C48" s="53"/>
      <c r="D48" s="53"/>
      <c r="E48" s="53"/>
      <c r="F48" s="52"/>
      <c r="G48" s="53" t="s">
        <v>10</v>
      </c>
      <c r="H48" s="53"/>
      <c r="I48" s="53"/>
      <c r="J48" s="53"/>
      <c r="K48" s="52"/>
    </row>
    <row r="49" spans="2:11" x14ac:dyDescent="0.35">
      <c r="B49" s="53" t="s">
        <v>27</v>
      </c>
      <c r="C49" s="53"/>
      <c r="D49" s="53"/>
      <c r="E49" s="53"/>
      <c r="F49" s="52"/>
      <c r="G49" s="53" t="s">
        <v>27</v>
      </c>
      <c r="H49" s="53"/>
      <c r="I49" s="53"/>
      <c r="J49" s="53"/>
      <c r="K49" s="52"/>
    </row>
    <row r="50" spans="2:11" ht="15" thickBot="1" x14ac:dyDescent="0.4">
      <c r="B50" s="53"/>
      <c r="C50" s="54"/>
      <c r="D50" s="54"/>
      <c r="E50" s="54"/>
      <c r="F50" s="52"/>
      <c r="G50" s="53"/>
      <c r="H50" s="54"/>
      <c r="I50" s="54"/>
      <c r="J50" s="54"/>
      <c r="K50" s="52"/>
    </row>
    <row r="51" spans="2:11" ht="15.5" thickTop="1" thickBot="1" x14ac:dyDescent="0.4">
      <c r="B51" s="53"/>
      <c r="C51" s="23" t="s">
        <v>42</v>
      </c>
      <c r="D51" s="23"/>
      <c r="E51" s="53"/>
      <c r="F51" s="52"/>
      <c r="G51" s="53"/>
      <c r="H51" s="23" t="s">
        <v>42</v>
      </c>
      <c r="I51" s="23"/>
      <c r="J51" s="53"/>
      <c r="K51" s="52"/>
    </row>
    <row r="52" spans="2:11" ht="15.5" thickTop="1" thickBot="1" x14ac:dyDescent="0.4">
      <c r="B52" s="53" t="s">
        <v>40</v>
      </c>
      <c r="C52" s="123" t="str">
        <f>Summary!C10</f>
        <v>GAJU  Anny</v>
      </c>
      <c r="D52" s="123"/>
      <c r="E52" s="55"/>
      <c r="F52" s="52"/>
      <c r="G52" s="53" t="s">
        <v>40</v>
      </c>
      <c r="H52" s="123" t="str">
        <f>Summary!C11</f>
        <v>GISUBIZO  Herve</v>
      </c>
      <c r="I52" s="123"/>
      <c r="J52" s="55"/>
      <c r="K52" s="52"/>
    </row>
    <row r="53" spans="2:11" ht="15" thickTop="1" x14ac:dyDescent="0.35">
      <c r="B53" s="124" t="s">
        <v>43</v>
      </c>
      <c r="C53" s="126" t="s">
        <v>37</v>
      </c>
      <c r="D53" s="127"/>
      <c r="E53" s="56"/>
      <c r="F53" s="52"/>
      <c r="G53" s="124" t="s">
        <v>43</v>
      </c>
      <c r="H53" s="126" t="s">
        <v>37</v>
      </c>
      <c r="I53" s="127"/>
      <c r="J53" s="56"/>
      <c r="K53" s="52"/>
    </row>
    <row r="54" spans="2:11" ht="15" thickBot="1" x14ac:dyDescent="0.4">
      <c r="B54" s="125"/>
      <c r="C54" s="57" t="s">
        <v>39</v>
      </c>
      <c r="D54" s="58" t="s">
        <v>38</v>
      </c>
      <c r="E54" s="54"/>
      <c r="F54" s="52"/>
      <c r="G54" s="125"/>
      <c r="H54" s="57" t="s">
        <v>39</v>
      </c>
      <c r="I54" s="58" t="s">
        <v>38</v>
      </c>
      <c r="J54" s="54"/>
      <c r="K54" s="52"/>
    </row>
    <row r="55" spans="2:11" ht="15" thickTop="1" x14ac:dyDescent="0.35">
      <c r="B55" s="59" t="s">
        <v>15</v>
      </c>
      <c r="C55" s="60">
        <f t="shared" ref="C55:C60" si="1">C19</f>
        <v>60</v>
      </c>
      <c r="D55" s="61">
        <f>Summary!E10</f>
        <v>58</v>
      </c>
      <c r="E55" s="54"/>
      <c r="F55" s="52"/>
      <c r="G55" s="59" t="s">
        <v>15</v>
      </c>
      <c r="H55" s="60">
        <f t="shared" ref="H55:H60" si="2">C55</f>
        <v>60</v>
      </c>
      <c r="I55" s="61">
        <f>Summary!E11</f>
        <v>60</v>
      </c>
      <c r="J55" s="54"/>
      <c r="K55" s="52"/>
    </row>
    <row r="56" spans="2:11" x14ac:dyDescent="0.35">
      <c r="B56" s="59" t="s">
        <v>30</v>
      </c>
      <c r="C56" s="60">
        <f t="shared" si="1"/>
        <v>30</v>
      </c>
      <c r="D56" s="61">
        <f>Summary!G10</f>
        <v>25</v>
      </c>
      <c r="E56" s="54"/>
      <c r="F56" s="52"/>
      <c r="G56" s="59" t="s">
        <v>30</v>
      </c>
      <c r="H56" s="60">
        <f t="shared" si="2"/>
        <v>30</v>
      </c>
      <c r="I56" s="61">
        <f>Summary!G11</f>
        <v>30</v>
      </c>
      <c r="J56" s="54"/>
      <c r="K56" s="52"/>
    </row>
    <row r="57" spans="2:11" x14ac:dyDescent="0.35">
      <c r="B57" s="59" t="s">
        <v>4</v>
      </c>
      <c r="C57" s="60">
        <f t="shared" si="1"/>
        <v>80</v>
      </c>
      <c r="D57" s="61">
        <f>Summary!I10</f>
        <v>72</v>
      </c>
      <c r="E57" s="54"/>
      <c r="F57" s="52"/>
      <c r="G57" s="59" t="s">
        <v>4</v>
      </c>
      <c r="H57" s="60">
        <f t="shared" si="2"/>
        <v>80</v>
      </c>
      <c r="I57" s="61">
        <f>Summary!I11</f>
        <v>80</v>
      </c>
      <c r="J57" s="54"/>
      <c r="K57" s="52"/>
    </row>
    <row r="58" spans="2:11" x14ac:dyDescent="0.35">
      <c r="B58" s="62" t="s">
        <v>5</v>
      </c>
      <c r="C58" s="60">
        <f t="shared" si="1"/>
        <v>80</v>
      </c>
      <c r="D58" s="61">
        <f>Summary!K10</f>
        <v>76</v>
      </c>
      <c r="E58" s="54"/>
      <c r="F58" s="52"/>
      <c r="G58" s="62" t="s">
        <v>5</v>
      </c>
      <c r="H58" s="60">
        <f t="shared" si="2"/>
        <v>80</v>
      </c>
      <c r="I58" s="61">
        <f>Summary!K11</f>
        <v>80</v>
      </c>
      <c r="J58" s="54"/>
      <c r="K58" s="52"/>
    </row>
    <row r="59" spans="2:11" x14ac:dyDescent="0.35">
      <c r="B59" s="62" t="s">
        <v>17</v>
      </c>
      <c r="C59" s="60">
        <f t="shared" si="1"/>
        <v>30</v>
      </c>
      <c r="D59" s="61">
        <f>Summary!M10</f>
        <v>25</v>
      </c>
      <c r="E59" s="54"/>
      <c r="F59" s="52"/>
      <c r="G59" s="62" t="s">
        <v>17</v>
      </c>
      <c r="H59" s="60">
        <f t="shared" si="2"/>
        <v>30</v>
      </c>
      <c r="I59" s="61">
        <f>Summary!M11</f>
        <v>27</v>
      </c>
      <c r="J59" s="54"/>
      <c r="K59" s="52"/>
    </row>
    <row r="60" spans="2:11" ht="15" thickBot="1" x14ac:dyDescent="0.4">
      <c r="B60" s="62" t="s">
        <v>46</v>
      </c>
      <c r="C60" s="60">
        <f t="shared" si="1"/>
        <v>80</v>
      </c>
      <c r="D60" s="61">
        <f>Summary!O10</f>
        <v>76</v>
      </c>
      <c r="E60" s="54"/>
      <c r="F60" s="52"/>
      <c r="G60" s="62" t="s">
        <v>46</v>
      </c>
      <c r="H60" s="60">
        <f t="shared" si="2"/>
        <v>80</v>
      </c>
      <c r="I60" s="61">
        <f>Summary!O11</f>
        <v>80</v>
      </c>
      <c r="J60" s="54"/>
      <c r="K60" s="52"/>
    </row>
    <row r="61" spans="2:11" ht="15.5" thickTop="1" thickBot="1" x14ac:dyDescent="0.4">
      <c r="B61" s="63" t="s">
        <v>11</v>
      </c>
      <c r="C61" s="64">
        <f>SUM(C55:C60)</f>
        <v>360</v>
      </c>
      <c r="D61" s="65">
        <f>SUM(D55:D60)</f>
        <v>332</v>
      </c>
      <c r="E61" s="54"/>
      <c r="F61" s="52"/>
      <c r="G61" s="63" t="s">
        <v>11</v>
      </c>
      <c r="H61" s="64">
        <f>SUM(H55:H60)</f>
        <v>360</v>
      </c>
      <c r="I61" s="65">
        <f>SUM(I55:I60)</f>
        <v>357</v>
      </c>
      <c r="J61" s="54"/>
      <c r="K61" s="52"/>
    </row>
    <row r="62" spans="2:11" ht="15.5" thickTop="1" thickBot="1" x14ac:dyDescent="0.4">
      <c r="B62" s="66" t="s">
        <v>32</v>
      </c>
      <c r="C62" s="128">
        <f>D61/C61</f>
        <v>0.92222222222222228</v>
      </c>
      <c r="D62" s="129"/>
      <c r="E62" s="54"/>
      <c r="F62" s="52"/>
      <c r="G62" s="66" t="s">
        <v>32</v>
      </c>
      <c r="H62" s="128">
        <f>I61/H61</f>
        <v>0.9916666666666667</v>
      </c>
      <c r="I62" s="129"/>
      <c r="J62" s="54"/>
      <c r="K62" s="52"/>
    </row>
    <row r="63" spans="2:11" ht="15.5" thickTop="1" thickBot="1" x14ac:dyDescent="0.4">
      <c r="B63" s="63" t="s">
        <v>21</v>
      </c>
      <c r="C63" s="83">
        <f>Summary!S10</f>
        <v>11</v>
      </c>
      <c r="D63" s="81">
        <f>Summary!S7</f>
        <v>44</v>
      </c>
      <c r="E63" s="54"/>
      <c r="F63" s="52"/>
      <c r="G63" s="63" t="s">
        <v>21</v>
      </c>
      <c r="H63" s="83">
        <f>Summary!S11</f>
        <v>2</v>
      </c>
      <c r="I63" s="81">
        <f>Summary!S7</f>
        <v>44</v>
      </c>
      <c r="J63" s="54"/>
      <c r="K63" s="52"/>
    </row>
    <row r="64" spans="2:11" ht="30" thickTop="1" thickBot="1" x14ac:dyDescent="0.4">
      <c r="B64" s="67" t="s">
        <v>33</v>
      </c>
      <c r="C64" s="134"/>
      <c r="D64" s="135"/>
      <c r="E64" s="54"/>
      <c r="F64" s="52"/>
      <c r="G64" s="67" t="s">
        <v>33</v>
      </c>
      <c r="H64" s="134"/>
      <c r="I64" s="135"/>
      <c r="J64" s="54"/>
      <c r="K64" s="52"/>
    </row>
    <row r="65" spans="2:11" ht="30" thickTop="1" thickBot="1" x14ac:dyDescent="0.4">
      <c r="B65" s="67" t="s">
        <v>34</v>
      </c>
      <c r="C65" s="131"/>
      <c r="D65" s="132"/>
      <c r="E65" s="54"/>
      <c r="F65" s="52"/>
      <c r="G65" s="67" t="s">
        <v>34</v>
      </c>
      <c r="H65" s="131"/>
      <c r="I65" s="132"/>
      <c r="J65" s="54"/>
      <c r="K65" s="52"/>
    </row>
    <row r="66" spans="2:11" ht="15" thickTop="1" x14ac:dyDescent="0.35">
      <c r="B66" s="50"/>
      <c r="C66" s="51"/>
      <c r="D66" s="51"/>
      <c r="E66" s="51"/>
      <c r="F66" s="52"/>
      <c r="G66" s="50"/>
      <c r="H66" s="51"/>
      <c r="I66" s="51"/>
      <c r="J66" s="51"/>
      <c r="K66" s="52"/>
    </row>
    <row r="67" spans="2:11" x14ac:dyDescent="0.35">
      <c r="B67" s="130" t="s">
        <v>35</v>
      </c>
      <c r="C67" s="130"/>
      <c r="D67" s="52"/>
      <c r="E67" s="52"/>
      <c r="F67" s="52"/>
      <c r="G67" s="130" t="s">
        <v>35</v>
      </c>
      <c r="H67" s="130"/>
      <c r="I67" s="52"/>
      <c r="J67" s="52"/>
      <c r="K67" s="52"/>
    </row>
    <row r="68" spans="2:11" x14ac:dyDescent="0.35">
      <c r="B68" s="68" t="s">
        <v>36</v>
      </c>
      <c r="C68" s="69">
        <f>C32</f>
        <v>45975</v>
      </c>
      <c r="D68" s="52"/>
      <c r="E68" s="52"/>
      <c r="F68" s="52"/>
      <c r="G68" s="68" t="s">
        <v>36</v>
      </c>
      <c r="H68" s="69">
        <f>H32</f>
        <v>45975</v>
      </c>
      <c r="I68" s="52"/>
      <c r="J68" s="52"/>
      <c r="K68" s="52"/>
    </row>
    <row r="69" spans="2:11" x14ac:dyDescent="0.35">
      <c r="B69" s="50"/>
      <c r="C69" s="51"/>
      <c r="D69" s="51"/>
      <c r="E69" s="51"/>
      <c r="F69" s="52"/>
      <c r="G69" s="50"/>
      <c r="H69" s="51"/>
      <c r="I69" s="51"/>
      <c r="J69" s="51"/>
      <c r="K69" s="52"/>
    </row>
    <row r="70" spans="2:11" x14ac:dyDescent="0.35">
      <c r="B70" s="50"/>
      <c r="C70" s="130"/>
      <c r="D70" s="130"/>
      <c r="E70" s="130"/>
      <c r="F70" s="130"/>
      <c r="G70" s="50"/>
      <c r="H70" s="130"/>
      <c r="I70" s="130"/>
      <c r="J70" s="130"/>
      <c r="K70" s="130"/>
    </row>
    <row r="71" spans="2:11" x14ac:dyDescent="0.35">
      <c r="B71" s="52"/>
      <c r="C71" s="130"/>
      <c r="D71" s="130"/>
      <c r="E71" s="130"/>
      <c r="F71" s="51"/>
      <c r="G71" s="52"/>
      <c r="H71" s="130"/>
      <c r="I71" s="130"/>
      <c r="J71" s="130"/>
      <c r="K71" s="51"/>
    </row>
    <row r="72" spans="2:11" x14ac:dyDescent="0.35">
      <c r="B72" s="52"/>
      <c r="C72" s="52"/>
      <c r="D72" s="52"/>
      <c r="E72" s="52"/>
      <c r="F72" s="52"/>
      <c r="G72" s="52"/>
      <c r="H72" s="52"/>
      <c r="I72" s="52"/>
      <c r="J72" s="52"/>
      <c r="K72" s="52"/>
    </row>
    <row r="73" spans="2:11" x14ac:dyDescent="0.35">
      <c r="B73" s="50"/>
      <c r="C73" s="51"/>
      <c r="D73" s="51"/>
      <c r="E73" s="51"/>
      <c r="F73" s="52"/>
      <c r="G73" s="50"/>
      <c r="H73" s="51"/>
      <c r="I73" s="51"/>
      <c r="J73" s="51"/>
      <c r="K73" s="52"/>
    </row>
    <row r="74" spans="2:11" x14ac:dyDescent="0.35">
      <c r="B74" s="50"/>
      <c r="C74" s="51"/>
      <c r="D74" s="51"/>
      <c r="E74" s="51"/>
      <c r="F74" s="52"/>
      <c r="G74" s="50"/>
      <c r="H74" s="51"/>
      <c r="I74" s="51"/>
      <c r="J74" s="51"/>
      <c r="K74" s="52"/>
    </row>
    <row r="75" spans="2:11" x14ac:dyDescent="0.35">
      <c r="B75" s="50"/>
      <c r="C75" s="51"/>
      <c r="D75" s="51"/>
      <c r="E75" s="51"/>
      <c r="F75" s="52"/>
      <c r="G75" s="50"/>
      <c r="H75" s="51"/>
      <c r="I75" s="51"/>
      <c r="J75" s="51"/>
      <c r="K75" s="52"/>
    </row>
    <row r="76" spans="2:11" x14ac:dyDescent="0.35">
      <c r="B76" s="50"/>
      <c r="C76" s="51"/>
      <c r="D76" s="51"/>
      <c r="E76" s="51"/>
      <c r="F76" s="52"/>
      <c r="G76" s="50"/>
      <c r="H76" s="51"/>
      <c r="I76" s="51"/>
      <c r="J76" s="51"/>
      <c r="K76" s="52"/>
    </row>
    <row r="77" spans="2:11" x14ac:dyDescent="0.35">
      <c r="B77" s="50"/>
      <c r="C77" s="51"/>
      <c r="D77" s="51"/>
      <c r="E77" s="51"/>
      <c r="F77" s="52"/>
      <c r="G77" s="50"/>
      <c r="H77" s="51"/>
      <c r="I77" s="51"/>
      <c r="J77" s="51"/>
      <c r="K77" s="52"/>
    </row>
    <row r="78" spans="2:11" x14ac:dyDescent="0.35">
      <c r="B78" s="53" t="s">
        <v>22</v>
      </c>
      <c r="C78" s="53"/>
      <c r="D78" s="53" t="s">
        <v>29</v>
      </c>
      <c r="E78" s="53" t="str">
        <f>E42</f>
        <v>2025/2026</v>
      </c>
      <c r="F78" s="52"/>
      <c r="G78" s="53" t="s">
        <v>22</v>
      </c>
      <c r="H78" s="53"/>
      <c r="I78" s="53" t="s">
        <v>29</v>
      </c>
      <c r="J78" s="53" t="str">
        <f>E78</f>
        <v>2025/2026</v>
      </c>
      <c r="K78" s="52"/>
    </row>
    <row r="79" spans="2:11" x14ac:dyDescent="0.35">
      <c r="B79" s="53" t="s">
        <v>23</v>
      </c>
      <c r="C79" s="53"/>
      <c r="D79" s="53"/>
      <c r="E79" s="53"/>
      <c r="F79" s="52"/>
      <c r="G79" s="53" t="s">
        <v>23</v>
      </c>
      <c r="H79" s="53"/>
      <c r="I79" s="53"/>
      <c r="J79" s="53"/>
      <c r="K79" s="52"/>
    </row>
    <row r="80" spans="2:11" x14ac:dyDescent="0.35">
      <c r="B80" s="53" t="s">
        <v>24</v>
      </c>
      <c r="C80" s="53"/>
      <c r="D80" s="53" t="s">
        <v>41</v>
      </c>
      <c r="E80" s="53" t="str">
        <f>E44</f>
        <v>P1-A</v>
      </c>
      <c r="F80" s="52"/>
      <c r="G80" s="53" t="s">
        <v>24</v>
      </c>
      <c r="H80" s="53"/>
      <c r="I80" s="53" t="s">
        <v>41</v>
      </c>
      <c r="J80" s="53" t="str">
        <f>E80</f>
        <v>P1-A</v>
      </c>
      <c r="K80" s="52"/>
    </row>
    <row r="81" spans="2:11" x14ac:dyDescent="0.35">
      <c r="B81" s="53" t="s">
        <v>25</v>
      </c>
      <c r="C81" s="53"/>
      <c r="D81" s="53"/>
      <c r="E81" s="52"/>
      <c r="F81" s="52"/>
      <c r="G81" s="53" t="s">
        <v>25</v>
      </c>
      <c r="H81" s="53"/>
      <c r="I81" s="53"/>
      <c r="J81" s="52"/>
      <c r="K81" s="52"/>
    </row>
    <row r="82" spans="2:11" x14ac:dyDescent="0.35">
      <c r="B82" s="53" t="s">
        <v>26</v>
      </c>
      <c r="C82" s="53"/>
      <c r="D82" s="53"/>
      <c r="E82" s="53"/>
      <c r="F82" s="52"/>
      <c r="G82" s="53" t="s">
        <v>26</v>
      </c>
      <c r="H82" s="53"/>
      <c r="I82" s="53"/>
      <c r="J82" s="53"/>
      <c r="K82" s="52"/>
    </row>
    <row r="83" spans="2:11" x14ac:dyDescent="0.35">
      <c r="B83" s="53" t="s">
        <v>9</v>
      </c>
      <c r="C83" s="53"/>
      <c r="D83" s="53" t="s">
        <v>12</v>
      </c>
      <c r="E83" s="53" t="str">
        <f>E47</f>
        <v xml:space="preserve"> INFERIEUR</v>
      </c>
      <c r="F83" s="52"/>
      <c r="G83" s="53" t="s">
        <v>9</v>
      </c>
      <c r="H83" s="53"/>
      <c r="I83" s="53" t="s">
        <v>12</v>
      </c>
      <c r="J83" s="53" t="str">
        <f>E83</f>
        <v xml:space="preserve"> INFERIEUR</v>
      </c>
      <c r="K83" s="52"/>
    </row>
    <row r="84" spans="2:11" x14ac:dyDescent="0.35">
      <c r="B84" s="53" t="s">
        <v>10</v>
      </c>
      <c r="C84" s="53"/>
      <c r="D84" s="53"/>
      <c r="E84" s="53"/>
      <c r="F84" s="52"/>
      <c r="G84" s="53" t="s">
        <v>10</v>
      </c>
      <c r="H84" s="53"/>
      <c r="I84" s="53"/>
      <c r="J84" s="53"/>
      <c r="K84" s="52"/>
    </row>
    <row r="85" spans="2:11" x14ac:dyDescent="0.35">
      <c r="B85" s="53" t="s">
        <v>27</v>
      </c>
      <c r="C85" s="53"/>
      <c r="D85" s="53"/>
      <c r="E85" s="53"/>
      <c r="F85" s="52"/>
      <c r="G85" s="53" t="s">
        <v>27</v>
      </c>
      <c r="H85" s="53"/>
      <c r="I85" s="53"/>
      <c r="J85" s="53"/>
      <c r="K85" s="52"/>
    </row>
    <row r="86" spans="2:11" ht="15" thickBot="1" x14ac:dyDescent="0.4">
      <c r="B86" s="53"/>
      <c r="C86" s="54"/>
      <c r="D86" s="54"/>
      <c r="E86" s="54"/>
      <c r="F86" s="52"/>
      <c r="G86" s="53"/>
      <c r="H86" s="54"/>
      <c r="I86" s="54"/>
      <c r="J86" s="54"/>
      <c r="K86" s="52"/>
    </row>
    <row r="87" spans="2:11" ht="15.5" thickTop="1" thickBot="1" x14ac:dyDescent="0.4">
      <c r="B87" s="53"/>
      <c r="C87" s="23" t="s">
        <v>42</v>
      </c>
      <c r="D87" s="23"/>
      <c r="E87" s="53"/>
      <c r="F87" s="52"/>
      <c r="G87" s="53"/>
      <c r="H87" s="23" t="s">
        <v>42</v>
      </c>
      <c r="I87" s="23"/>
      <c r="J87" s="53"/>
      <c r="K87" s="52"/>
    </row>
    <row r="88" spans="2:11" ht="15.5" thickTop="1" thickBot="1" x14ac:dyDescent="0.4">
      <c r="B88" s="53" t="s">
        <v>40</v>
      </c>
      <c r="C88" s="136" t="str">
        <f>Summary!C12</f>
        <v>HIRWA  Ayman</v>
      </c>
      <c r="D88" s="136"/>
      <c r="E88" s="55"/>
      <c r="F88" s="52"/>
      <c r="G88" s="53" t="s">
        <v>40</v>
      </c>
      <c r="H88" s="136" t="str">
        <f>Summary!C13</f>
        <v>HIRWA Elio  Rayan</v>
      </c>
      <c r="I88" s="136"/>
      <c r="J88" s="55"/>
      <c r="K88" s="52"/>
    </row>
    <row r="89" spans="2:11" ht="15" thickTop="1" x14ac:dyDescent="0.35">
      <c r="B89" s="124" t="s">
        <v>43</v>
      </c>
      <c r="C89" s="126" t="s">
        <v>37</v>
      </c>
      <c r="D89" s="127"/>
      <c r="E89" s="56"/>
      <c r="F89" s="52"/>
      <c r="G89" s="124" t="s">
        <v>43</v>
      </c>
      <c r="H89" s="126" t="s">
        <v>37</v>
      </c>
      <c r="I89" s="127"/>
      <c r="J89" s="56"/>
      <c r="K89" s="52"/>
    </row>
    <row r="90" spans="2:11" ht="15" thickBot="1" x14ac:dyDescent="0.4">
      <c r="B90" s="125"/>
      <c r="C90" s="57" t="s">
        <v>39</v>
      </c>
      <c r="D90" s="58" t="s">
        <v>38</v>
      </c>
      <c r="E90" s="54"/>
      <c r="F90" s="52"/>
      <c r="G90" s="125"/>
      <c r="H90" s="57" t="s">
        <v>39</v>
      </c>
      <c r="I90" s="58" t="s">
        <v>38</v>
      </c>
      <c r="J90" s="54"/>
      <c r="K90" s="52"/>
    </row>
    <row r="91" spans="2:11" ht="15" thickTop="1" x14ac:dyDescent="0.35">
      <c r="B91" s="59" t="s">
        <v>15</v>
      </c>
      <c r="C91" s="60">
        <f t="shared" ref="C91:C96" si="3">C55</f>
        <v>60</v>
      </c>
      <c r="D91" s="61">
        <f>Summary!E12</f>
        <v>43</v>
      </c>
      <c r="E91" s="54"/>
      <c r="F91" s="52"/>
      <c r="G91" s="59" t="s">
        <v>15</v>
      </c>
      <c r="H91" s="60">
        <f t="shared" ref="H91:H96" si="4">C91</f>
        <v>60</v>
      </c>
      <c r="I91" s="61">
        <f>Summary!E13</f>
        <v>56</v>
      </c>
      <c r="J91" s="54"/>
      <c r="K91" s="52"/>
    </row>
    <row r="92" spans="2:11" x14ac:dyDescent="0.35">
      <c r="B92" s="59" t="s">
        <v>30</v>
      </c>
      <c r="C92" s="60">
        <f t="shared" si="3"/>
        <v>30</v>
      </c>
      <c r="D92" s="61">
        <f>Summary!G12</f>
        <v>21</v>
      </c>
      <c r="E92" s="54"/>
      <c r="F92" s="52"/>
      <c r="G92" s="59" t="s">
        <v>30</v>
      </c>
      <c r="H92" s="60">
        <f t="shared" si="4"/>
        <v>30</v>
      </c>
      <c r="I92" s="61">
        <f>Summary!G13</f>
        <v>28</v>
      </c>
      <c r="J92" s="54"/>
      <c r="K92" s="52"/>
    </row>
    <row r="93" spans="2:11" x14ac:dyDescent="0.35">
      <c r="B93" s="59" t="s">
        <v>4</v>
      </c>
      <c r="C93" s="60">
        <f t="shared" si="3"/>
        <v>80</v>
      </c>
      <c r="D93" s="61">
        <f>Summary!I12</f>
        <v>50</v>
      </c>
      <c r="E93" s="54"/>
      <c r="F93" s="52"/>
      <c r="G93" s="59" t="s">
        <v>4</v>
      </c>
      <c r="H93" s="60">
        <f t="shared" si="4"/>
        <v>80</v>
      </c>
      <c r="I93" s="61">
        <f>Summary!I13</f>
        <v>74</v>
      </c>
      <c r="J93" s="54"/>
      <c r="K93" s="52"/>
    </row>
    <row r="94" spans="2:11" x14ac:dyDescent="0.35">
      <c r="B94" s="62" t="s">
        <v>5</v>
      </c>
      <c r="C94" s="60">
        <f t="shared" si="3"/>
        <v>80</v>
      </c>
      <c r="D94" s="61">
        <f>Summary!K12</f>
        <v>30</v>
      </c>
      <c r="E94" s="54"/>
      <c r="F94" s="52"/>
      <c r="G94" s="62" t="s">
        <v>5</v>
      </c>
      <c r="H94" s="60">
        <f t="shared" si="4"/>
        <v>80</v>
      </c>
      <c r="I94" s="61">
        <f>Summary!K13</f>
        <v>80</v>
      </c>
      <c r="J94" s="54"/>
      <c r="K94" s="52"/>
    </row>
    <row r="95" spans="2:11" x14ac:dyDescent="0.35">
      <c r="B95" s="62" t="s">
        <v>17</v>
      </c>
      <c r="C95" s="60">
        <f t="shared" si="3"/>
        <v>30</v>
      </c>
      <c r="D95" s="61">
        <f>Summary!M12</f>
        <v>21</v>
      </c>
      <c r="E95" s="54"/>
      <c r="F95" s="52"/>
      <c r="G95" s="62" t="s">
        <v>17</v>
      </c>
      <c r="H95" s="60">
        <f t="shared" si="4"/>
        <v>30</v>
      </c>
      <c r="I95" s="61">
        <f>Summary!M13</f>
        <v>23</v>
      </c>
      <c r="J95" s="54"/>
      <c r="K95" s="52"/>
    </row>
    <row r="96" spans="2:11" ht="15" thickBot="1" x14ac:dyDescent="0.4">
      <c r="B96" s="62" t="s">
        <v>46</v>
      </c>
      <c r="C96" s="60">
        <f t="shared" si="3"/>
        <v>80</v>
      </c>
      <c r="D96" s="61">
        <f>Summary!O12</f>
        <v>48</v>
      </c>
      <c r="E96" s="54"/>
      <c r="F96" s="52"/>
      <c r="G96" s="62" t="s">
        <v>46</v>
      </c>
      <c r="H96" s="60">
        <f t="shared" si="4"/>
        <v>80</v>
      </c>
      <c r="I96" s="61">
        <f>Summary!O13</f>
        <v>69</v>
      </c>
      <c r="J96" s="54"/>
      <c r="K96" s="52"/>
    </row>
    <row r="97" spans="2:11" ht="15.5" thickTop="1" thickBot="1" x14ac:dyDescent="0.4">
      <c r="B97" s="63" t="s">
        <v>11</v>
      </c>
      <c r="C97" s="64">
        <f>SUM(C91:C96)</f>
        <v>360</v>
      </c>
      <c r="D97" s="65">
        <f>SUM(D91:D96)</f>
        <v>213</v>
      </c>
      <c r="E97" s="54"/>
      <c r="F97" s="52"/>
      <c r="G97" s="63" t="s">
        <v>11</v>
      </c>
      <c r="H97" s="64">
        <f>SUM(H91:H96)</f>
        <v>360</v>
      </c>
      <c r="I97" s="65">
        <f>SUM(I91:I96)</f>
        <v>330</v>
      </c>
      <c r="J97" s="54"/>
      <c r="K97" s="52"/>
    </row>
    <row r="98" spans="2:11" ht="15.5" thickTop="1" thickBot="1" x14ac:dyDescent="0.4">
      <c r="B98" s="66" t="s">
        <v>32</v>
      </c>
      <c r="C98" s="128">
        <f>D97/C97</f>
        <v>0.59166666666666667</v>
      </c>
      <c r="D98" s="129"/>
      <c r="E98" s="54"/>
      <c r="F98" s="52"/>
      <c r="G98" s="66" t="s">
        <v>32</v>
      </c>
      <c r="H98" s="128">
        <f>I97/H97</f>
        <v>0.91666666666666663</v>
      </c>
      <c r="I98" s="129"/>
      <c r="J98" s="54"/>
      <c r="K98" s="52"/>
    </row>
    <row r="99" spans="2:11" ht="15.5" thickTop="1" thickBot="1" x14ac:dyDescent="0.4">
      <c r="B99" s="63" t="s">
        <v>21</v>
      </c>
      <c r="C99" s="83">
        <f>Summary!S12</f>
        <v>42</v>
      </c>
      <c r="D99" s="81">
        <f>Summary!S7</f>
        <v>44</v>
      </c>
      <c r="E99" s="54"/>
      <c r="F99" s="52"/>
      <c r="G99" s="63" t="s">
        <v>21</v>
      </c>
      <c r="H99" s="83">
        <f>Summary!S13</f>
        <v>12</v>
      </c>
      <c r="I99" s="81">
        <f>Summary!S7</f>
        <v>44</v>
      </c>
      <c r="J99" s="54"/>
      <c r="K99" s="52"/>
    </row>
    <row r="100" spans="2:11" ht="30" thickTop="1" thickBot="1" x14ac:dyDescent="0.4">
      <c r="B100" s="67" t="s">
        <v>33</v>
      </c>
      <c r="C100" s="134"/>
      <c r="D100" s="135"/>
      <c r="E100" s="54"/>
      <c r="F100" s="52"/>
      <c r="G100" s="67" t="s">
        <v>33</v>
      </c>
      <c r="H100" s="134"/>
      <c r="I100" s="135"/>
      <c r="J100" s="54"/>
      <c r="K100" s="52"/>
    </row>
    <row r="101" spans="2:11" ht="30" thickTop="1" thickBot="1" x14ac:dyDescent="0.4">
      <c r="B101" s="67" t="s">
        <v>34</v>
      </c>
      <c r="C101" s="131"/>
      <c r="D101" s="132"/>
      <c r="E101" s="54"/>
      <c r="F101" s="52"/>
      <c r="G101" s="67" t="s">
        <v>34</v>
      </c>
      <c r="H101" s="131"/>
      <c r="I101" s="132"/>
      <c r="J101" s="54"/>
      <c r="K101" s="52"/>
    </row>
    <row r="102" spans="2:11" ht="15" thickTop="1" x14ac:dyDescent="0.35">
      <c r="B102" s="50"/>
      <c r="C102" s="51"/>
      <c r="D102" s="51"/>
      <c r="E102" s="51"/>
      <c r="F102" s="52"/>
      <c r="G102" s="50"/>
      <c r="H102" s="51"/>
      <c r="I102" s="51"/>
      <c r="J102" s="51"/>
      <c r="K102" s="52"/>
    </row>
    <row r="103" spans="2:11" x14ac:dyDescent="0.35">
      <c r="B103" s="130" t="s">
        <v>35</v>
      </c>
      <c r="C103" s="130"/>
      <c r="D103" s="52"/>
      <c r="E103" s="52"/>
      <c r="F103" s="52"/>
      <c r="G103" s="130" t="s">
        <v>35</v>
      </c>
      <c r="H103" s="130"/>
      <c r="I103" s="52"/>
      <c r="J103" s="52"/>
      <c r="K103" s="52"/>
    </row>
    <row r="104" spans="2:11" x14ac:dyDescent="0.35">
      <c r="B104" s="68" t="s">
        <v>36</v>
      </c>
      <c r="C104" s="69">
        <f>C68</f>
        <v>45975</v>
      </c>
      <c r="D104" s="52"/>
      <c r="E104" s="52"/>
      <c r="F104" s="52"/>
      <c r="G104" s="68" t="s">
        <v>36</v>
      </c>
      <c r="H104" s="69">
        <f>H68</f>
        <v>45975</v>
      </c>
      <c r="I104" s="52"/>
      <c r="J104" s="52"/>
      <c r="K104" s="52"/>
    </row>
    <row r="105" spans="2:11" x14ac:dyDescent="0.35">
      <c r="B105" s="50"/>
      <c r="C105" s="51"/>
      <c r="D105" s="51"/>
      <c r="E105" s="51"/>
      <c r="F105" s="52"/>
      <c r="G105" s="50"/>
      <c r="H105" s="51"/>
      <c r="I105" s="51"/>
      <c r="J105" s="51"/>
      <c r="K105" s="52"/>
    </row>
    <row r="106" spans="2:11" x14ac:dyDescent="0.35">
      <c r="B106" s="50"/>
      <c r="C106" s="130"/>
      <c r="D106" s="130"/>
      <c r="E106" s="130"/>
      <c r="F106" s="130"/>
      <c r="G106" s="50"/>
      <c r="H106" s="130"/>
      <c r="I106" s="130"/>
      <c r="J106" s="130"/>
      <c r="K106" s="130"/>
    </row>
    <row r="107" spans="2:11" x14ac:dyDescent="0.35">
      <c r="B107" s="52"/>
      <c r="C107" s="130"/>
      <c r="D107" s="130"/>
      <c r="E107" s="130"/>
      <c r="F107" s="51"/>
      <c r="G107" s="52"/>
      <c r="H107" s="130"/>
      <c r="I107" s="130"/>
      <c r="J107" s="130"/>
      <c r="K107" s="51"/>
    </row>
    <row r="108" spans="2:11" x14ac:dyDescent="0.35">
      <c r="B108" s="52"/>
      <c r="C108" s="52"/>
      <c r="D108" s="52"/>
      <c r="E108" s="52"/>
      <c r="F108" s="52"/>
      <c r="G108" s="52"/>
      <c r="H108" s="52"/>
      <c r="I108" s="52"/>
      <c r="J108" s="52"/>
      <c r="K108" s="52"/>
    </row>
    <row r="109" spans="2:11" x14ac:dyDescent="0.35">
      <c r="B109" s="50"/>
      <c r="C109" s="51"/>
      <c r="D109" s="51"/>
      <c r="E109" s="51"/>
      <c r="F109" s="52"/>
      <c r="G109" s="50"/>
      <c r="H109" s="51"/>
      <c r="I109" s="51"/>
      <c r="J109" s="51"/>
      <c r="K109" s="52"/>
    </row>
    <row r="110" spans="2:11" x14ac:dyDescent="0.35">
      <c r="B110" s="50"/>
      <c r="C110" s="51"/>
      <c r="D110" s="51"/>
      <c r="E110" s="51"/>
      <c r="F110" s="52"/>
      <c r="G110" s="50"/>
      <c r="H110" s="51"/>
      <c r="I110" s="51"/>
      <c r="J110" s="51"/>
      <c r="K110" s="52"/>
    </row>
    <row r="111" spans="2:11" x14ac:dyDescent="0.35">
      <c r="B111" s="50"/>
      <c r="C111" s="51"/>
      <c r="D111" s="51"/>
      <c r="E111" s="51"/>
      <c r="F111" s="52"/>
      <c r="G111" s="50"/>
      <c r="H111" s="51"/>
      <c r="I111" s="51"/>
      <c r="J111" s="51"/>
      <c r="K111" s="52"/>
    </row>
    <row r="112" spans="2:11" x14ac:dyDescent="0.35">
      <c r="B112" s="50"/>
      <c r="C112" s="51"/>
      <c r="D112" s="51"/>
      <c r="E112" s="51"/>
      <c r="F112" s="52"/>
      <c r="G112" s="50"/>
      <c r="H112" s="51"/>
      <c r="I112" s="51"/>
      <c r="J112" s="51"/>
      <c r="K112" s="52"/>
    </row>
    <row r="113" spans="2:11" x14ac:dyDescent="0.35">
      <c r="B113" s="50"/>
      <c r="C113" s="51"/>
      <c r="D113" s="51"/>
      <c r="E113" s="51"/>
      <c r="F113" s="52"/>
      <c r="G113" s="50"/>
      <c r="H113" s="51"/>
      <c r="I113" s="51"/>
      <c r="J113" s="51"/>
      <c r="K113" s="52"/>
    </row>
    <row r="114" spans="2:11" x14ac:dyDescent="0.35">
      <c r="B114" s="53" t="s">
        <v>22</v>
      </c>
      <c r="C114" s="53"/>
      <c r="D114" s="53" t="s">
        <v>29</v>
      </c>
      <c r="E114" s="53" t="str">
        <f>E78</f>
        <v>2025/2026</v>
      </c>
      <c r="F114" s="52"/>
      <c r="G114" s="53" t="s">
        <v>22</v>
      </c>
      <c r="H114" s="53"/>
      <c r="I114" s="53" t="s">
        <v>29</v>
      </c>
      <c r="J114" s="53" t="str">
        <f>E114</f>
        <v>2025/2026</v>
      </c>
      <c r="K114" s="52"/>
    </row>
    <row r="115" spans="2:11" x14ac:dyDescent="0.35">
      <c r="B115" s="53" t="s">
        <v>23</v>
      </c>
      <c r="C115" s="53"/>
      <c r="D115" s="53"/>
      <c r="E115" s="53"/>
      <c r="F115" s="52"/>
      <c r="G115" s="53" t="s">
        <v>23</v>
      </c>
      <c r="H115" s="53"/>
      <c r="I115" s="53"/>
      <c r="J115" s="53"/>
      <c r="K115" s="52"/>
    </row>
    <row r="116" spans="2:11" x14ac:dyDescent="0.35">
      <c r="B116" s="53" t="s">
        <v>24</v>
      </c>
      <c r="C116" s="53"/>
      <c r="D116" s="53" t="s">
        <v>41</v>
      </c>
      <c r="E116" s="53" t="str">
        <f>E80</f>
        <v>P1-A</v>
      </c>
      <c r="F116" s="52"/>
      <c r="G116" s="53" t="s">
        <v>24</v>
      </c>
      <c r="H116" s="53"/>
      <c r="I116" s="53" t="s">
        <v>41</v>
      </c>
      <c r="J116" s="53" t="str">
        <f>E116</f>
        <v>P1-A</v>
      </c>
      <c r="K116" s="52"/>
    </row>
    <row r="117" spans="2:11" x14ac:dyDescent="0.35">
      <c r="B117" s="53" t="s">
        <v>25</v>
      </c>
      <c r="C117" s="53"/>
      <c r="D117" s="53"/>
      <c r="E117" s="52"/>
      <c r="F117" s="52"/>
      <c r="G117" s="53" t="s">
        <v>25</v>
      </c>
      <c r="H117" s="53"/>
      <c r="I117" s="53"/>
      <c r="J117" s="52"/>
      <c r="K117" s="52"/>
    </row>
    <row r="118" spans="2:11" x14ac:dyDescent="0.35">
      <c r="B118" s="53" t="s">
        <v>26</v>
      </c>
      <c r="C118" s="53"/>
      <c r="D118" s="53"/>
      <c r="E118" s="53"/>
      <c r="F118" s="52"/>
      <c r="G118" s="53" t="s">
        <v>26</v>
      </c>
      <c r="H118" s="53"/>
      <c r="I118" s="53"/>
      <c r="J118" s="53"/>
      <c r="K118" s="52"/>
    </row>
    <row r="119" spans="2:11" x14ac:dyDescent="0.35">
      <c r="B119" s="53" t="s">
        <v>9</v>
      </c>
      <c r="C119" s="53"/>
      <c r="D119" s="53" t="s">
        <v>12</v>
      </c>
      <c r="E119" s="53" t="str">
        <f>E83</f>
        <v xml:space="preserve"> INFERIEUR</v>
      </c>
      <c r="F119" s="52"/>
      <c r="G119" s="53" t="s">
        <v>9</v>
      </c>
      <c r="H119" s="53"/>
      <c r="I119" s="53" t="s">
        <v>12</v>
      </c>
      <c r="J119" s="53" t="str">
        <f>E119</f>
        <v xml:space="preserve"> INFERIEUR</v>
      </c>
      <c r="K119" s="52"/>
    </row>
    <row r="120" spans="2:11" x14ac:dyDescent="0.35">
      <c r="B120" s="53" t="s">
        <v>10</v>
      </c>
      <c r="C120" s="53"/>
      <c r="D120" s="53"/>
      <c r="E120" s="53"/>
      <c r="F120" s="52"/>
      <c r="G120" s="53" t="s">
        <v>10</v>
      </c>
      <c r="H120" s="53"/>
      <c r="I120" s="53"/>
      <c r="J120" s="53"/>
      <c r="K120" s="52"/>
    </row>
    <row r="121" spans="2:11" x14ac:dyDescent="0.35">
      <c r="B121" s="53" t="s">
        <v>27</v>
      </c>
      <c r="C121" s="53"/>
      <c r="D121" s="53"/>
      <c r="E121" s="53"/>
      <c r="F121" s="52"/>
      <c r="G121" s="53" t="s">
        <v>27</v>
      </c>
      <c r="H121" s="53"/>
      <c r="I121" s="53"/>
      <c r="J121" s="53"/>
      <c r="K121" s="52"/>
    </row>
    <row r="122" spans="2:11" ht="15" thickBot="1" x14ac:dyDescent="0.4">
      <c r="B122" s="53"/>
      <c r="C122" s="54"/>
      <c r="D122" s="54"/>
      <c r="E122" s="54"/>
      <c r="F122" s="52"/>
      <c r="G122" s="53"/>
      <c r="H122" s="54"/>
      <c r="I122" s="54"/>
      <c r="J122" s="54"/>
      <c r="K122" s="52"/>
    </row>
    <row r="123" spans="2:11" ht="15.5" thickTop="1" thickBot="1" x14ac:dyDescent="0.4">
      <c r="B123" s="53"/>
      <c r="C123" s="23" t="s">
        <v>42</v>
      </c>
      <c r="D123" s="23"/>
      <c r="E123" s="53"/>
      <c r="F123" s="52"/>
      <c r="G123" s="53"/>
      <c r="H123" s="23" t="s">
        <v>42</v>
      </c>
      <c r="I123" s="23"/>
      <c r="J123" s="53"/>
      <c r="K123" s="52"/>
    </row>
    <row r="124" spans="2:11" ht="15.5" thickTop="1" thickBot="1" x14ac:dyDescent="0.4">
      <c r="B124" s="53" t="s">
        <v>40</v>
      </c>
      <c r="C124" s="86" t="str">
        <f>Summary!C14</f>
        <v>ICYOMORO AGANZE Grayson</v>
      </c>
      <c r="D124" s="86"/>
      <c r="E124" s="55"/>
      <c r="F124" s="52"/>
      <c r="G124" s="53" t="s">
        <v>40</v>
      </c>
      <c r="H124" s="123" t="str">
        <f>Summary!C15</f>
        <v>IHIRWE  Lena</v>
      </c>
      <c r="I124" s="123"/>
      <c r="J124" s="55"/>
      <c r="K124" s="52"/>
    </row>
    <row r="125" spans="2:11" ht="15" thickTop="1" x14ac:dyDescent="0.35">
      <c r="B125" s="124" t="s">
        <v>43</v>
      </c>
      <c r="C125" s="126" t="s">
        <v>37</v>
      </c>
      <c r="D125" s="127"/>
      <c r="E125" s="56"/>
      <c r="F125" s="52"/>
      <c r="G125" s="124" t="s">
        <v>43</v>
      </c>
      <c r="H125" s="126" t="s">
        <v>37</v>
      </c>
      <c r="I125" s="127"/>
      <c r="J125" s="56"/>
      <c r="K125" s="52"/>
    </row>
    <row r="126" spans="2:11" ht="15" thickBot="1" x14ac:dyDescent="0.4">
      <c r="B126" s="125"/>
      <c r="C126" s="57" t="s">
        <v>39</v>
      </c>
      <c r="D126" s="58" t="s">
        <v>38</v>
      </c>
      <c r="E126" s="54"/>
      <c r="F126" s="52"/>
      <c r="G126" s="125"/>
      <c r="H126" s="57" t="s">
        <v>39</v>
      </c>
      <c r="I126" s="58" t="s">
        <v>38</v>
      </c>
      <c r="J126" s="54"/>
      <c r="K126" s="52"/>
    </row>
    <row r="127" spans="2:11" ht="15" thickTop="1" x14ac:dyDescent="0.35">
      <c r="B127" s="59" t="s">
        <v>15</v>
      </c>
      <c r="C127" s="60">
        <f t="shared" ref="C127:C132" si="5">C91</f>
        <v>60</v>
      </c>
      <c r="D127" s="61">
        <f>Summary!E14</f>
        <v>52</v>
      </c>
      <c r="E127" s="54"/>
      <c r="F127" s="52"/>
      <c r="G127" s="59" t="s">
        <v>15</v>
      </c>
      <c r="H127" s="60">
        <f t="shared" ref="H127:H132" si="6">C127</f>
        <v>60</v>
      </c>
      <c r="I127" s="61">
        <f>Summary!E15</f>
        <v>60</v>
      </c>
      <c r="J127" s="54"/>
      <c r="K127" s="52"/>
    </row>
    <row r="128" spans="2:11" x14ac:dyDescent="0.35">
      <c r="B128" s="59" t="s">
        <v>30</v>
      </c>
      <c r="C128" s="60">
        <f t="shared" si="5"/>
        <v>30</v>
      </c>
      <c r="D128" s="61">
        <f>Summary!G14</f>
        <v>27</v>
      </c>
      <c r="E128" s="54"/>
      <c r="F128" s="52"/>
      <c r="G128" s="59" t="s">
        <v>30</v>
      </c>
      <c r="H128" s="60">
        <f t="shared" si="6"/>
        <v>30</v>
      </c>
      <c r="I128" s="61">
        <f>Summary!G15</f>
        <v>26</v>
      </c>
      <c r="J128" s="54"/>
      <c r="K128" s="52"/>
    </row>
    <row r="129" spans="2:11" x14ac:dyDescent="0.35">
      <c r="B129" s="59" t="s">
        <v>4</v>
      </c>
      <c r="C129" s="60">
        <f t="shared" si="5"/>
        <v>80</v>
      </c>
      <c r="D129" s="61">
        <f>Summary!I14</f>
        <v>68</v>
      </c>
      <c r="E129" s="54"/>
      <c r="F129" s="52"/>
      <c r="G129" s="59" t="s">
        <v>4</v>
      </c>
      <c r="H129" s="60">
        <f t="shared" si="6"/>
        <v>80</v>
      </c>
      <c r="I129" s="61">
        <f>Summary!I15</f>
        <v>80</v>
      </c>
      <c r="J129" s="54"/>
      <c r="K129" s="52"/>
    </row>
    <row r="130" spans="2:11" x14ac:dyDescent="0.35">
      <c r="B130" s="62" t="s">
        <v>5</v>
      </c>
      <c r="C130" s="60">
        <f t="shared" si="5"/>
        <v>80</v>
      </c>
      <c r="D130" s="61">
        <f>Summary!K14</f>
        <v>72</v>
      </c>
      <c r="E130" s="54"/>
      <c r="F130" s="52"/>
      <c r="G130" s="62" t="s">
        <v>5</v>
      </c>
      <c r="H130" s="60">
        <f t="shared" si="6"/>
        <v>80</v>
      </c>
      <c r="I130" s="61">
        <f>Summary!K15</f>
        <v>68</v>
      </c>
      <c r="J130" s="54"/>
      <c r="K130" s="52"/>
    </row>
    <row r="131" spans="2:11" x14ac:dyDescent="0.35">
      <c r="B131" s="62" t="s">
        <v>17</v>
      </c>
      <c r="C131" s="60">
        <f t="shared" si="5"/>
        <v>30</v>
      </c>
      <c r="D131" s="61">
        <f>Summary!M14</f>
        <v>28</v>
      </c>
      <c r="E131" s="54"/>
      <c r="F131" s="52"/>
      <c r="G131" s="62" t="s">
        <v>17</v>
      </c>
      <c r="H131" s="60">
        <f t="shared" si="6"/>
        <v>30</v>
      </c>
      <c r="I131" s="61">
        <f>Summary!M15</f>
        <v>21</v>
      </c>
      <c r="J131" s="54"/>
      <c r="K131" s="52"/>
    </row>
    <row r="132" spans="2:11" ht="15" thickBot="1" x14ac:dyDescent="0.4">
      <c r="B132" s="62" t="s">
        <v>46</v>
      </c>
      <c r="C132" s="60">
        <f t="shared" si="5"/>
        <v>80</v>
      </c>
      <c r="D132" s="61">
        <f>Summary!O14</f>
        <v>53</v>
      </c>
      <c r="E132" s="54"/>
      <c r="F132" s="52"/>
      <c r="G132" s="62" t="s">
        <v>46</v>
      </c>
      <c r="H132" s="60">
        <f t="shared" si="6"/>
        <v>80</v>
      </c>
      <c r="I132" s="61">
        <f>Summary!O15</f>
        <v>62</v>
      </c>
      <c r="J132" s="54"/>
      <c r="K132" s="52"/>
    </row>
    <row r="133" spans="2:11" ht="15.5" thickTop="1" thickBot="1" x14ac:dyDescent="0.4">
      <c r="B133" s="63" t="s">
        <v>11</v>
      </c>
      <c r="C133" s="64">
        <f>SUM(C127:C132)</f>
        <v>360</v>
      </c>
      <c r="D133" s="65">
        <f>SUM(D127:D132)</f>
        <v>300</v>
      </c>
      <c r="E133" s="54"/>
      <c r="F133" s="52"/>
      <c r="G133" s="63" t="s">
        <v>11</v>
      </c>
      <c r="H133" s="64">
        <f>SUM(H127:H132)</f>
        <v>360</v>
      </c>
      <c r="I133" s="65">
        <f>SUM(I127:I132)</f>
        <v>317</v>
      </c>
      <c r="J133" s="54"/>
      <c r="K133" s="52"/>
    </row>
    <row r="134" spans="2:11" ht="15.5" thickTop="1" thickBot="1" x14ac:dyDescent="0.4">
      <c r="B134" s="66" t="s">
        <v>32</v>
      </c>
      <c r="C134" s="128">
        <f>D133/C133</f>
        <v>0.83333333333333337</v>
      </c>
      <c r="D134" s="129"/>
      <c r="E134" s="54"/>
      <c r="F134" s="52"/>
      <c r="G134" s="66" t="s">
        <v>32</v>
      </c>
      <c r="H134" s="128">
        <f>I133/H133</f>
        <v>0.88055555555555554</v>
      </c>
      <c r="I134" s="129"/>
      <c r="J134" s="54"/>
      <c r="K134" s="52"/>
    </row>
    <row r="135" spans="2:11" ht="15.5" thickTop="1" thickBot="1" x14ac:dyDescent="0.4">
      <c r="B135" s="63" t="s">
        <v>21</v>
      </c>
      <c r="C135" s="83">
        <f>Summary!S14</f>
        <v>29</v>
      </c>
      <c r="D135" s="81">
        <f>Summary!S7</f>
        <v>44</v>
      </c>
      <c r="E135" s="54"/>
      <c r="F135" s="52"/>
      <c r="G135" s="63" t="s">
        <v>21</v>
      </c>
      <c r="H135" s="83">
        <f>Summary!S15</f>
        <v>21</v>
      </c>
      <c r="I135" s="81">
        <f>Summary!S7</f>
        <v>44</v>
      </c>
      <c r="J135" s="54"/>
      <c r="K135" s="52"/>
    </row>
    <row r="136" spans="2:11" ht="30" thickTop="1" thickBot="1" x14ac:dyDescent="0.4">
      <c r="B136" s="67" t="s">
        <v>33</v>
      </c>
      <c r="C136" s="134"/>
      <c r="D136" s="135"/>
      <c r="E136" s="54"/>
      <c r="F136" s="52"/>
      <c r="G136" s="67" t="s">
        <v>33</v>
      </c>
      <c r="H136" s="134"/>
      <c r="I136" s="135"/>
      <c r="J136" s="54"/>
      <c r="K136" s="52"/>
    </row>
    <row r="137" spans="2:11" ht="30" thickTop="1" thickBot="1" x14ac:dyDescent="0.4">
      <c r="B137" s="67" t="s">
        <v>34</v>
      </c>
      <c r="C137" s="131"/>
      <c r="D137" s="132"/>
      <c r="E137" s="54"/>
      <c r="F137" s="52"/>
      <c r="G137" s="67" t="s">
        <v>34</v>
      </c>
      <c r="H137" s="131"/>
      <c r="I137" s="132"/>
      <c r="J137" s="54"/>
      <c r="K137" s="52"/>
    </row>
    <row r="138" spans="2:11" ht="15" thickTop="1" x14ac:dyDescent="0.35">
      <c r="B138" s="50"/>
      <c r="C138" s="51"/>
      <c r="D138" s="51"/>
      <c r="E138" s="51"/>
      <c r="F138" s="52"/>
      <c r="G138" s="50"/>
      <c r="H138" s="51"/>
      <c r="I138" s="51"/>
      <c r="J138" s="51"/>
      <c r="K138" s="52"/>
    </row>
    <row r="139" spans="2:11" x14ac:dyDescent="0.35">
      <c r="B139" s="130" t="s">
        <v>35</v>
      </c>
      <c r="C139" s="130"/>
      <c r="D139" s="52"/>
      <c r="E139" s="52"/>
      <c r="F139" s="52"/>
      <c r="G139" s="130" t="s">
        <v>35</v>
      </c>
      <c r="H139" s="130"/>
      <c r="I139" s="52"/>
      <c r="J139" s="52"/>
      <c r="K139" s="52"/>
    </row>
    <row r="140" spans="2:11" x14ac:dyDescent="0.35">
      <c r="B140" s="68" t="s">
        <v>36</v>
      </c>
      <c r="C140" s="69">
        <f>C104</f>
        <v>45975</v>
      </c>
      <c r="D140" s="52"/>
      <c r="E140" s="52"/>
      <c r="F140" s="52"/>
      <c r="G140" s="68" t="s">
        <v>36</v>
      </c>
      <c r="H140" s="69">
        <f>H104</f>
        <v>45975</v>
      </c>
      <c r="I140" s="52"/>
      <c r="J140" s="52"/>
      <c r="K140" s="52"/>
    </row>
    <row r="141" spans="2:11" x14ac:dyDescent="0.35">
      <c r="B141" s="50"/>
      <c r="C141" s="51"/>
      <c r="D141" s="51"/>
      <c r="E141" s="51"/>
      <c r="F141" s="52"/>
      <c r="G141" s="50"/>
      <c r="H141" s="51"/>
      <c r="I141" s="51"/>
      <c r="J141" s="51"/>
      <c r="K141" s="52"/>
    </row>
    <row r="142" spans="2:11" x14ac:dyDescent="0.35">
      <c r="B142" s="50"/>
      <c r="C142" s="130"/>
      <c r="D142" s="130"/>
      <c r="E142" s="130"/>
      <c r="F142" s="130"/>
      <c r="G142" s="50"/>
      <c r="H142" s="130"/>
      <c r="I142" s="130"/>
      <c r="J142" s="130"/>
      <c r="K142" s="130"/>
    </row>
    <row r="143" spans="2:11" x14ac:dyDescent="0.35">
      <c r="B143" s="52"/>
      <c r="C143" s="130"/>
      <c r="D143" s="130"/>
      <c r="E143" s="130"/>
      <c r="F143" s="51"/>
      <c r="G143" s="52"/>
      <c r="H143" s="130"/>
      <c r="I143" s="130"/>
      <c r="J143" s="130"/>
      <c r="K143" s="51"/>
    </row>
    <row r="144" spans="2:11" x14ac:dyDescent="0.35">
      <c r="B144" s="52"/>
      <c r="C144" s="52"/>
      <c r="D144" s="52"/>
      <c r="E144" s="52"/>
      <c r="F144" s="52"/>
      <c r="G144" s="52"/>
      <c r="H144" s="52"/>
      <c r="I144" s="52"/>
      <c r="J144" s="52"/>
      <c r="K144" s="52"/>
    </row>
    <row r="145" spans="2:11" x14ac:dyDescent="0.35">
      <c r="B145" s="50"/>
      <c r="C145" s="51"/>
      <c r="D145" s="51"/>
      <c r="E145" s="51"/>
      <c r="F145" s="52"/>
      <c r="G145" s="50"/>
      <c r="H145" s="51"/>
      <c r="I145" s="51"/>
      <c r="J145" s="51"/>
      <c r="K145" s="52"/>
    </row>
    <row r="146" spans="2:11" x14ac:dyDescent="0.35">
      <c r="B146" s="50"/>
      <c r="C146" s="51"/>
      <c r="D146" s="51"/>
      <c r="E146" s="51"/>
      <c r="F146" s="52"/>
      <c r="G146" s="50"/>
      <c r="H146" s="51"/>
      <c r="I146" s="51"/>
      <c r="J146" s="51"/>
      <c r="K146" s="52"/>
    </row>
    <row r="147" spans="2:11" x14ac:dyDescent="0.35">
      <c r="B147" s="50"/>
      <c r="C147" s="51"/>
      <c r="D147" s="51"/>
      <c r="E147" s="51"/>
      <c r="F147" s="52"/>
      <c r="G147" s="50"/>
      <c r="H147" s="51"/>
      <c r="I147" s="51"/>
      <c r="J147" s="51"/>
      <c r="K147" s="52"/>
    </row>
    <row r="148" spans="2:11" x14ac:dyDescent="0.35">
      <c r="B148" s="50"/>
      <c r="C148" s="51"/>
      <c r="D148" s="51"/>
      <c r="E148" s="51"/>
      <c r="F148" s="52"/>
      <c r="G148" s="50"/>
      <c r="H148" s="51"/>
      <c r="I148" s="51"/>
      <c r="J148" s="51"/>
      <c r="K148" s="52"/>
    </row>
    <row r="149" spans="2:11" x14ac:dyDescent="0.35">
      <c r="B149" s="50"/>
      <c r="C149" s="51"/>
      <c r="D149" s="51"/>
      <c r="E149" s="51"/>
      <c r="F149" s="52"/>
      <c r="G149" s="50"/>
      <c r="H149" s="51"/>
      <c r="I149" s="51"/>
      <c r="J149" s="51"/>
      <c r="K149" s="52"/>
    </row>
    <row r="150" spans="2:11" x14ac:dyDescent="0.35">
      <c r="B150" s="53" t="s">
        <v>22</v>
      </c>
      <c r="C150" s="53"/>
      <c r="D150" s="53" t="s">
        <v>29</v>
      </c>
      <c r="E150" s="53" t="str">
        <f>E114</f>
        <v>2025/2026</v>
      </c>
      <c r="F150" s="52"/>
      <c r="G150" s="53" t="s">
        <v>22</v>
      </c>
      <c r="H150" s="53"/>
      <c r="I150" s="53" t="s">
        <v>29</v>
      </c>
      <c r="J150" s="53" t="str">
        <f>E150</f>
        <v>2025/2026</v>
      </c>
      <c r="K150" s="52"/>
    </row>
    <row r="151" spans="2:11" x14ac:dyDescent="0.35">
      <c r="B151" s="53" t="s">
        <v>23</v>
      </c>
      <c r="C151" s="53"/>
      <c r="D151" s="53"/>
      <c r="E151" s="53"/>
      <c r="F151" s="52"/>
      <c r="G151" s="53" t="s">
        <v>23</v>
      </c>
      <c r="H151" s="53"/>
      <c r="I151" s="53"/>
      <c r="J151" s="53"/>
      <c r="K151" s="52"/>
    </row>
    <row r="152" spans="2:11" x14ac:dyDescent="0.35">
      <c r="B152" s="53" t="s">
        <v>24</v>
      </c>
      <c r="C152" s="53"/>
      <c r="D152" s="53" t="s">
        <v>41</v>
      </c>
      <c r="E152" s="53" t="str">
        <f>E116</f>
        <v>P1-A</v>
      </c>
      <c r="F152" s="52"/>
      <c r="G152" s="53" t="s">
        <v>24</v>
      </c>
      <c r="H152" s="53"/>
      <c r="I152" s="53" t="s">
        <v>41</v>
      </c>
      <c r="J152" s="53" t="str">
        <f>E152</f>
        <v>P1-A</v>
      </c>
      <c r="K152" s="52"/>
    </row>
    <row r="153" spans="2:11" x14ac:dyDescent="0.35">
      <c r="B153" s="53" t="s">
        <v>25</v>
      </c>
      <c r="C153" s="53"/>
      <c r="D153" s="53"/>
      <c r="E153" s="52"/>
      <c r="F153" s="52"/>
      <c r="G153" s="53" t="s">
        <v>25</v>
      </c>
      <c r="H153" s="53"/>
      <c r="I153" s="53"/>
      <c r="J153" s="52"/>
      <c r="K153" s="52"/>
    </row>
    <row r="154" spans="2:11" x14ac:dyDescent="0.35">
      <c r="B154" s="53" t="s">
        <v>26</v>
      </c>
      <c r="C154" s="53"/>
      <c r="D154" s="53"/>
      <c r="E154" s="53"/>
      <c r="F154" s="52"/>
      <c r="G154" s="53" t="s">
        <v>26</v>
      </c>
      <c r="H154" s="53"/>
      <c r="I154" s="53"/>
      <c r="J154" s="53"/>
      <c r="K154" s="52"/>
    </row>
    <row r="155" spans="2:11" x14ac:dyDescent="0.35">
      <c r="B155" s="53" t="s">
        <v>9</v>
      </c>
      <c r="C155" s="53"/>
      <c r="D155" s="53" t="s">
        <v>12</v>
      </c>
      <c r="E155" s="53" t="str">
        <f>E119</f>
        <v xml:space="preserve"> INFERIEUR</v>
      </c>
      <c r="F155" s="52"/>
      <c r="G155" s="53" t="s">
        <v>9</v>
      </c>
      <c r="H155" s="53"/>
      <c r="I155" s="53" t="s">
        <v>12</v>
      </c>
      <c r="J155" s="53" t="str">
        <f>E155</f>
        <v xml:space="preserve"> INFERIEUR</v>
      </c>
      <c r="K155" s="52"/>
    </row>
    <row r="156" spans="2:11" x14ac:dyDescent="0.35">
      <c r="B156" s="53" t="s">
        <v>10</v>
      </c>
      <c r="C156" s="53"/>
      <c r="D156" s="53"/>
      <c r="E156" s="53"/>
      <c r="F156" s="52"/>
      <c r="G156" s="53" t="s">
        <v>10</v>
      </c>
      <c r="H156" s="53"/>
      <c r="I156" s="53"/>
      <c r="J156" s="53"/>
      <c r="K156" s="52"/>
    </row>
    <row r="157" spans="2:11" x14ac:dyDescent="0.35">
      <c r="B157" s="53" t="s">
        <v>27</v>
      </c>
      <c r="C157" s="53"/>
      <c r="D157" s="53"/>
      <c r="E157" s="53"/>
      <c r="F157" s="52"/>
      <c r="G157" s="53" t="s">
        <v>27</v>
      </c>
      <c r="H157" s="53"/>
      <c r="I157" s="53"/>
      <c r="J157" s="53"/>
      <c r="K157" s="52"/>
    </row>
    <row r="158" spans="2:11" ht="15" thickBot="1" x14ac:dyDescent="0.4">
      <c r="B158" s="53"/>
      <c r="C158" s="54"/>
      <c r="D158" s="54"/>
      <c r="E158" s="54"/>
      <c r="F158" s="52"/>
      <c r="G158" s="53"/>
      <c r="H158" s="54"/>
      <c r="I158" s="54"/>
      <c r="J158" s="54"/>
      <c r="K158" s="52"/>
    </row>
    <row r="159" spans="2:11" ht="15.5" thickTop="1" thickBot="1" x14ac:dyDescent="0.4">
      <c r="B159" s="53"/>
      <c r="C159" s="23" t="s">
        <v>42</v>
      </c>
      <c r="D159" s="23"/>
      <c r="E159" s="53"/>
      <c r="F159" s="52"/>
      <c r="G159" s="53"/>
      <c r="H159" s="23" t="s">
        <v>42</v>
      </c>
      <c r="I159" s="23"/>
      <c r="J159" s="53"/>
      <c r="K159" s="52"/>
    </row>
    <row r="160" spans="2:11" ht="15.5" thickTop="1" thickBot="1" x14ac:dyDescent="0.4">
      <c r="B160" s="53" t="s">
        <v>40</v>
      </c>
      <c r="C160" s="123" t="str">
        <f>Summary!C16</f>
        <v>INEZA  Gaella</v>
      </c>
      <c r="D160" s="123"/>
      <c r="E160" s="55"/>
      <c r="F160" s="52"/>
      <c r="G160" s="53" t="s">
        <v>40</v>
      </c>
      <c r="H160" s="123" t="str">
        <f>Summary!C17</f>
        <v>INEZA CYIZERE Daicy</v>
      </c>
      <c r="I160" s="123"/>
      <c r="J160" s="55"/>
      <c r="K160" s="52"/>
    </row>
    <row r="161" spans="2:11" ht="15" thickTop="1" x14ac:dyDescent="0.35">
      <c r="B161" s="124" t="s">
        <v>43</v>
      </c>
      <c r="C161" s="126" t="s">
        <v>37</v>
      </c>
      <c r="D161" s="127"/>
      <c r="E161" s="56"/>
      <c r="F161" s="52"/>
      <c r="G161" s="124" t="s">
        <v>43</v>
      </c>
      <c r="H161" s="126" t="s">
        <v>37</v>
      </c>
      <c r="I161" s="127"/>
      <c r="J161" s="56"/>
      <c r="K161" s="52"/>
    </row>
    <row r="162" spans="2:11" ht="15" thickBot="1" x14ac:dyDescent="0.4">
      <c r="B162" s="125"/>
      <c r="C162" s="57" t="s">
        <v>39</v>
      </c>
      <c r="D162" s="58" t="s">
        <v>38</v>
      </c>
      <c r="E162" s="54"/>
      <c r="F162" s="52"/>
      <c r="G162" s="125"/>
      <c r="H162" s="57" t="s">
        <v>39</v>
      </c>
      <c r="I162" s="58" t="s">
        <v>38</v>
      </c>
      <c r="J162" s="54"/>
      <c r="K162" s="52"/>
    </row>
    <row r="163" spans="2:11" ht="15" thickTop="1" x14ac:dyDescent="0.35">
      <c r="B163" s="59" t="s">
        <v>15</v>
      </c>
      <c r="C163" s="60">
        <f t="shared" ref="C163:C168" si="7">C127</f>
        <v>60</v>
      </c>
      <c r="D163" s="61">
        <f>Summary!E16</f>
        <v>48</v>
      </c>
      <c r="E163" s="54"/>
      <c r="F163" s="52"/>
      <c r="G163" s="59" t="s">
        <v>15</v>
      </c>
      <c r="H163" s="60">
        <f t="shared" ref="H163:H168" si="8">C163</f>
        <v>60</v>
      </c>
      <c r="I163" s="61">
        <f>Summary!E17</f>
        <v>50</v>
      </c>
      <c r="J163" s="54"/>
      <c r="K163" s="52"/>
    </row>
    <row r="164" spans="2:11" x14ac:dyDescent="0.35">
      <c r="B164" s="59" t="s">
        <v>30</v>
      </c>
      <c r="C164" s="60">
        <f t="shared" si="7"/>
        <v>30</v>
      </c>
      <c r="D164" s="61">
        <f>Summary!G16</f>
        <v>21</v>
      </c>
      <c r="E164" s="54"/>
      <c r="F164" s="52"/>
      <c r="G164" s="59" t="s">
        <v>30</v>
      </c>
      <c r="H164" s="60">
        <f t="shared" si="8"/>
        <v>30</v>
      </c>
      <c r="I164" s="61">
        <f>Summary!G17</f>
        <v>19</v>
      </c>
      <c r="J164" s="54"/>
      <c r="K164" s="52"/>
    </row>
    <row r="165" spans="2:11" x14ac:dyDescent="0.35">
      <c r="B165" s="59" t="s">
        <v>4</v>
      </c>
      <c r="C165" s="60">
        <f t="shared" si="7"/>
        <v>80</v>
      </c>
      <c r="D165" s="61">
        <f>Summary!I16</f>
        <v>44</v>
      </c>
      <c r="E165" s="54"/>
      <c r="F165" s="52"/>
      <c r="G165" s="59" t="s">
        <v>4</v>
      </c>
      <c r="H165" s="60">
        <f t="shared" si="8"/>
        <v>80</v>
      </c>
      <c r="I165" s="61">
        <f>Summary!I17</f>
        <v>56</v>
      </c>
      <c r="J165" s="54"/>
      <c r="K165" s="52"/>
    </row>
    <row r="166" spans="2:11" x14ac:dyDescent="0.35">
      <c r="B166" s="62" t="s">
        <v>5</v>
      </c>
      <c r="C166" s="60">
        <f t="shared" si="7"/>
        <v>80</v>
      </c>
      <c r="D166" s="61">
        <f>Summary!K16</f>
        <v>40</v>
      </c>
      <c r="E166" s="54"/>
      <c r="F166" s="52"/>
      <c r="G166" s="62" t="s">
        <v>5</v>
      </c>
      <c r="H166" s="60">
        <f t="shared" si="8"/>
        <v>80</v>
      </c>
      <c r="I166" s="61">
        <f>Summary!K17</f>
        <v>64</v>
      </c>
      <c r="J166" s="54"/>
      <c r="K166" s="52"/>
    </row>
    <row r="167" spans="2:11" x14ac:dyDescent="0.35">
      <c r="B167" s="62" t="s">
        <v>17</v>
      </c>
      <c r="C167" s="60">
        <f t="shared" si="7"/>
        <v>30</v>
      </c>
      <c r="D167" s="61">
        <f>Summary!M16</f>
        <v>23</v>
      </c>
      <c r="E167" s="54"/>
      <c r="F167" s="52"/>
      <c r="G167" s="62" t="s">
        <v>17</v>
      </c>
      <c r="H167" s="60">
        <f t="shared" si="8"/>
        <v>30</v>
      </c>
      <c r="I167" s="61">
        <f>Summary!M17</f>
        <v>21</v>
      </c>
      <c r="J167" s="54"/>
      <c r="K167" s="52"/>
    </row>
    <row r="168" spans="2:11" ht="15" thickBot="1" x14ac:dyDescent="0.4">
      <c r="B168" s="62" t="s">
        <v>46</v>
      </c>
      <c r="C168" s="60">
        <f t="shared" si="7"/>
        <v>80</v>
      </c>
      <c r="D168" s="61">
        <f>Summary!O16</f>
        <v>56</v>
      </c>
      <c r="E168" s="54"/>
      <c r="F168" s="52"/>
      <c r="G168" s="62" t="s">
        <v>46</v>
      </c>
      <c r="H168" s="60">
        <f t="shared" si="8"/>
        <v>80</v>
      </c>
      <c r="I168" s="61">
        <f>Summary!O17</f>
        <v>60</v>
      </c>
      <c r="J168" s="54"/>
      <c r="K168" s="52"/>
    </row>
    <row r="169" spans="2:11" ht="15.5" thickTop="1" thickBot="1" x14ac:dyDescent="0.4">
      <c r="B169" s="63" t="s">
        <v>11</v>
      </c>
      <c r="C169" s="64">
        <f>SUM(C163:C168)</f>
        <v>360</v>
      </c>
      <c r="D169" s="65">
        <f>SUM(D163:D168)</f>
        <v>232</v>
      </c>
      <c r="E169" s="54"/>
      <c r="F169" s="52"/>
      <c r="G169" s="63" t="s">
        <v>11</v>
      </c>
      <c r="H169" s="64">
        <f>SUM(H163:H168)</f>
        <v>360</v>
      </c>
      <c r="I169" s="65">
        <f>SUM(I163:I168)</f>
        <v>270</v>
      </c>
      <c r="J169" s="54"/>
      <c r="K169" s="52"/>
    </row>
    <row r="170" spans="2:11" ht="15.5" thickTop="1" thickBot="1" x14ac:dyDescent="0.4">
      <c r="B170" s="66" t="s">
        <v>32</v>
      </c>
      <c r="C170" s="128">
        <f>D169/C169</f>
        <v>0.64444444444444449</v>
      </c>
      <c r="D170" s="129"/>
      <c r="E170" s="54"/>
      <c r="F170" s="52"/>
      <c r="G170" s="66" t="s">
        <v>32</v>
      </c>
      <c r="H170" s="128">
        <f>I169/H169</f>
        <v>0.75</v>
      </c>
      <c r="I170" s="129"/>
      <c r="J170" s="54"/>
      <c r="K170" s="52"/>
    </row>
    <row r="171" spans="2:11" ht="15.5" thickTop="1" thickBot="1" x14ac:dyDescent="0.4">
      <c r="B171" s="63" t="s">
        <v>21</v>
      </c>
      <c r="C171" s="83">
        <f>Summary!S16</f>
        <v>39</v>
      </c>
      <c r="D171" s="81">
        <f>Summary!S7</f>
        <v>44</v>
      </c>
      <c r="E171" s="54"/>
      <c r="F171" s="52"/>
      <c r="G171" s="63" t="s">
        <v>21</v>
      </c>
      <c r="H171" s="83">
        <f>Summary!S17</f>
        <v>36</v>
      </c>
      <c r="I171" s="81">
        <f>Summary!S7</f>
        <v>44</v>
      </c>
      <c r="J171" s="54"/>
      <c r="K171" s="52"/>
    </row>
    <row r="172" spans="2:11" ht="30" thickTop="1" thickBot="1" x14ac:dyDescent="0.4">
      <c r="B172" s="67" t="s">
        <v>33</v>
      </c>
      <c r="C172" s="134"/>
      <c r="D172" s="135"/>
      <c r="E172" s="54"/>
      <c r="F172" s="52"/>
      <c r="G172" s="67" t="s">
        <v>33</v>
      </c>
      <c r="H172" s="134"/>
      <c r="I172" s="135"/>
      <c r="J172" s="54"/>
      <c r="K172" s="52"/>
    </row>
    <row r="173" spans="2:11" ht="30" thickTop="1" thickBot="1" x14ac:dyDescent="0.4">
      <c r="B173" s="67" t="s">
        <v>34</v>
      </c>
      <c r="C173" s="131"/>
      <c r="D173" s="132"/>
      <c r="E173" s="54"/>
      <c r="F173" s="52"/>
      <c r="G173" s="67" t="s">
        <v>34</v>
      </c>
      <c r="H173" s="131"/>
      <c r="I173" s="132"/>
      <c r="J173" s="54"/>
      <c r="K173" s="52"/>
    </row>
    <row r="174" spans="2:11" ht="15" thickTop="1" x14ac:dyDescent="0.35">
      <c r="B174" s="50"/>
      <c r="C174" s="51"/>
      <c r="D174" s="51"/>
      <c r="E174" s="51"/>
      <c r="F174" s="52"/>
      <c r="G174" s="50"/>
      <c r="H174" s="51"/>
      <c r="I174" s="51"/>
      <c r="J174" s="51"/>
      <c r="K174" s="52"/>
    </row>
    <row r="175" spans="2:11" x14ac:dyDescent="0.35">
      <c r="B175" s="130" t="s">
        <v>35</v>
      </c>
      <c r="C175" s="130"/>
      <c r="D175" s="52"/>
      <c r="E175" s="52"/>
      <c r="F175" s="52"/>
      <c r="G175" s="130" t="s">
        <v>35</v>
      </c>
      <c r="H175" s="130"/>
      <c r="I175" s="52"/>
      <c r="J175" s="52"/>
      <c r="K175" s="52"/>
    </row>
    <row r="176" spans="2:11" x14ac:dyDescent="0.35">
      <c r="B176" s="68" t="s">
        <v>36</v>
      </c>
      <c r="C176" s="69">
        <f>C140</f>
        <v>45975</v>
      </c>
      <c r="D176" s="52"/>
      <c r="E176" s="52"/>
      <c r="F176" s="52"/>
      <c r="G176" s="68" t="s">
        <v>36</v>
      </c>
      <c r="H176" s="69">
        <f>H140</f>
        <v>45975</v>
      </c>
      <c r="I176" s="52"/>
      <c r="J176" s="52"/>
      <c r="K176" s="52"/>
    </row>
    <row r="177" spans="2:11" x14ac:dyDescent="0.35">
      <c r="B177" s="50"/>
      <c r="C177" s="51"/>
      <c r="D177" s="51"/>
      <c r="E177" s="51"/>
      <c r="F177" s="52"/>
      <c r="G177" s="50"/>
      <c r="H177" s="51"/>
      <c r="I177" s="51"/>
      <c r="J177" s="51"/>
      <c r="K177" s="52"/>
    </row>
    <row r="178" spans="2:11" x14ac:dyDescent="0.35">
      <c r="B178" s="50"/>
      <c r="C178" s="130"/>
      <c r="D178" s="130"/>
      <c r="E178" s="130"/>
      <c r="F178" s="130"/>
      <c r="G178" s="50"/>
      <c r="H178" s="130"/>
      <c r="I178" s="130"/>
      <c r="J178" s="130"/>
      <c r="K178" s="130"/>
    </row>
    <row r="179" spans="2:11" x14ac:dyDescent="0.35">
      <c r="B179" s="52"/>
      <c r="C179" s="130"/>
      <c r="D179" s="130"/>
      <c r="E179" s="130"/>
      <c r="F179" s="51"/>
      <c r="G179" s="52"/>
      <c r="H179" s="130"/>
      <c r="I179" s="130"/>
      <c r="J179" s="130"/>
      <c r="K179" s="51"/>
    </row>
    <row r="180" spans="2:11" x14ac:dyDescent="0.35">
      <c r="B180" s="52"/>
      <c r="C180" s="52"/>
      <c r="D180" s="52"/>
      <c r="E180" s="52"/>
      <c r="F180" s="52"/>
      <c r="G180" s="52"/>
      <c r="H180" s="52"/>
      <c r="I180" s="52"/>
      <c r="J180" s="52"/>
      <c r="K180" s="52"/>
    </row>
    <row r="181" spans="2:11" x14ac:dyDescent="0.35">
      <c r="B181" s="50"/>
      <c r="C181" s="51"/>
      <c r="D181" s="51"/>
      <c r="E181" s="51"/>
      <c r="F181" s="52"/>
      <c r="G181" s="50"/>
      <c r="H181" s="51"/>
      <c r="I181" s="51"/>
      <c r="J181" s="51"/>
      <c r="K181" s="52"/>
    </row>
    <row r="182" spans="2:11" x14ac:dyDescent="0.35">
      <c r="B182" s="50"/>
      <c r="C182" s="51"/>
      <c r="D182" s="51"/>
      <c r="E182" s="51"/>
      <c r="F182" s="52"/>
      <c r="G182" s="50"/>
      <c r="H182" s="51"/>
      <c r="I182" s="51"/>
      <c r="J182" s="51"/>
      <c r="K182" s="52"/>
    </row>
    <row r="183" spans="2:11" x14ac:dyDescent="0.35">
      <c r="B183" s="50"/>
      <c r="C183" s="51"/>
      <c r="D183" s="51"/>
      <c r="E183" s="51"/>
      <c r="F183" s="52"/>
      <c r="G183" s="50"/>
      <c r="H183" s="51"/>
      <c r="I183" s="51"/>
      <c r="J183" s="51"/>
      <c r="K183" s="52"/>
    </row>
    <row r="184" spans="2:11" x14ac:dyDescent="0.35">
      <c r="B184" s="50"/>
      <c r="C184" s="51"/>
      <c r="D184" s="51"/>
      <c r="E184" s="51"/>
      <c r="F184" s="52"/>
      <c r="G184" s="50"/>
      <c r="H184" s="51"/>
      <c r="I184" s="51"/>
      <c r="J184" s="51"/>
      <c r="K184" s="52"/>
    </row>
    <row r="185" spans="2:11" x14ac:dyDescent="0.35">
      <c r="B185" s="50"/>
      <c r="C185" s="51"/>
      <c r="D185" s="51"/>
      <c r="E185" s="51"/>
      <c r="F185" s="52"/>
      <c r="G185" s="50"/>
      <c r="H185" s="51"/>
      <c r="I185" s="51"/>
      <c r="J185" s="51"/>
      <c r="K185" s="52"/>
    </row>
    <row r="186" spans="2:11" x14ac:dyDescent="0.35">
      <c r="B186" s="53" t="s">
        <v>22</v>
      </c>
      <c r="C186" s="53"/>
      <c r="D186" s="53" t="s">
        <v>29</v>
      </c>
      <c r="E186" s="53" t="str">
        <f>E150</f>
        <v>2025/2026</v>
      </c>
      <c r="F186" s="52"/>
      <c r="G186" s="53" t="s">
        <v>22</v>
      </c>
      <c r="H186" s="53"/>
      <c r="I186" s="53" t="s">
        <v>29</v>
      </c>
      <c r="J186" s="53" t="str">
        <f>E186</f>
        <v>2025/2026</v>
      </c>
      <c r="K186" s="52"/>
    </row>
    <row r="187" spans="2:11" x14ac:dyDescent="0.35">
      <c r="B187" s="53" t="s">
        <v>23</v>
      </c>
      <c r="C187" s="53"/>
      <c r="D187" s="53"/>
      <c r="E187" s="53"/>
      <c r="F187" s="52"/>
      <c r="G187" s="53" t="s">
        <v>23</v>
      </c>
      <c r="H187" s="53"/>
      <c r="I187" s="53"/>
      <c r="J187" s="53"/>
      <c r="K187" s="52"/>
    </row>
    <row r="188" spans="2:11" x14ac:dyDescent="0.35">
      <c r="B188" s="53" t="s">
        <v>24</v>
      </c>
      <c r="C188" s="53"/>
      <c r="D188" s="53" t="s">
        <v>41</v>
      </c>
      <c r="E188" s="53" t="str">
        <f>E152</f>
        <v>P1-A</v>
      </c>
      <c r="F188" s="52"/>
      <c r="G188" s="53" t="s">
        <v>24</v>
      </c>
      <c r="H188" s="53"/>
      <c r="I188" s="53" t="s">
        <v>41</v>
      </c>
      <c r="J188" s="53" t="str">
        <f>E188</f>
        <v>P1-A</v>
      </c>
      <c r="K188" s="52"/>
    </row>
    <row r="189" spans="2:11" x14ac:dyDescent="0.35">
      <c r="B189" s="53" t="s">
        <v>25</v>
      </c>
      <c r="C189" s="53"/>
      <c r="D189" s="53"/>
      <c r="E189" s="52"/>
      <c r="F189" s="52"/>
      <c r="G189" s="53" t="s">
        <v>25</v>
      </c>
      <c r="H189" s="53"/>
      <c r="I189" s="53"/>
      <c r="J189" s="52"/>
      <c r="K189" s="52"/>
    </row>
    <row r="190" spans="2:11" x14ac:dyDescent="0.35">
      <c r="B190" s="53" t="s">
        <v>26</v>
      </c>
      <c r="C190" s="53"/>
      <c r="D190" s="53"/>
      <c r="E190" s="53"/>
      <c r="F190" s="52"/>
      <c r="G190" s="53" t="s">
        <v>26</v>
      </c>
      <c r="H190" s="53"/>
      <c r="I190" s="53"/>
      <c r="J190" s="53"/>
      <c r="K190" s="52"/>
    </row>
    <row r="191" spans="2:11" x14ac:dyDescent="0.35">
      <c r="B191" s="53" t="s">
        <v>9</v>
      </c>
      <c r="C191" s="53"/>
      <c r="D191" s="53" t="s">
        <v>12</v>
      </c>
      <c r="E191" s="53" t="str">
        <f>E155</f>
        <v xml:space="preserve"> INFERIEUR</v>
      </c>
      <c r="F191" s="52"/>
      <c r="G191" s="53" t="s">
        <v>9</v>
      </c>
      <c r="H191" s="53"/>
      <c r="I191" s="53" t="s">
        <v>12</v>
      </c>
      <c r="J191" s="53" t="str">
        <f>E191</f>
        <v xml:space="preserve"> INFERIEUR</v>
      </c>
      <c r="K191" s="52"/>
    </row>
    <row r="192" spans="2:11" x14ac:dyDescent="0.35">
      <c r="B192" s="53" t="s">
        <v>10</v>
      </c>
      <c r="C192" s="53"/>
      <c r="D192" s="53"/>
      <c r="E192" s="53"/>
      <c r="F192" s="52"/>
      <c r="G192" s="53" t="s">
        <v>10</v>
      </c>
      <c r="H192" s="53"/>
      <c r="I192" s="53"/>
      <c r="J192" s="53"/>
      <c r="K192" s="52"/>
    </row>
    <row r="193" spans="2:11" x14ac:dyDescent="0.35">
      <c r="B193" s="53" t="s">
        <v>27</v>
      </c>
      <c r="C193" s="53"/>
      <c r="D193" s="53"/>
      <c r="E193" s="53"/>
      <c r="F193" s="52"/>
      <c r="G193" s="53" t="s">
        <v>27</v>
      </c>
      <c r="H193" s="53"/>
      <c r="I193" s="53"/>
      <c r="J193" s="53"/>
      <c r="K193" s="52"/>
    </row>
    <row r="194" spans="2:11" ht="15" thickBot="1" x14ac:dyDescent="0.4">
      <c r="B194" s="53"/>
      <c r="C194" s="54"/>
      <c r="D194" s="54"/>
      <c r="E194" s="54"/>
      <c r="F194" s="52"/>
      <c r="G194" s="53"/>
      <c r="H194" s="54"/>
      <c r="I194" s="54"/>
      <c r="J194" s="54"/>
      <c r="K194" s="52"/>
    </row>
    <row r="195" spans="2:11" ht="15.5" thickTop="1" thickBot="1" x14ac:dyDescent="0.4">
      <c r="B195" s="53"/>
      <c r="C195" s="23" t="s">
        <v>42</v>
      </c>
      <c r="D195" s="23"/>
      <c r="E195" s="53"/>
      <c r="F195" s="52"/>
      <c r="G195" s="53"/>
      <c r="H195" s="23" t="s">
        <v>42</v>
      </c>
      <c r="I195" s="23"/>
      <c r="J195" s="53"/>
      <c r="K195" s="52"/>
    </row>
    <row r="196" spans="2:11" ht="15.5" thickTop="1" thickBot="1" x14ac:dyDescent="0.4">
      <c r="B196" s="53" t="s">
        <v>40</v>
      </c>
      <c r="C196" s="123" t="str">
        <f>Summary!C18</f>
        <v>IRADUKUNDA INEZA Pamella</v>
      </c>
      <c r="D196" s="123"/>
      <c r="E196" s="55"/>
      <c r="F196" s="52"/>
      <c r="G196" s="53" t="s">
        <v>40</v>
      </c>
      <c r="H196" s="123" t="str">
        <f>Summary!C19</f>
        <v>IRAKOZE  Yasipi</v>
      </c>
      <c r="I196" s="123"/>
      <c r="J196" s="55"/>
      <c r="K196" s="52"/>
    </row>
    <row r="197" spans="2:11" ht="15" thickTop="1" x14ac:dyDescent="0.35">
      <c r="B197" s="124" t="s">
        <v>43</v>
      </c>
      <c r="C197" s="126" t="s">
        <v>37</v>
      </c>
      <c r="D197" s="127"/>
      <c r="E197" s="56"/>
      <c r="F197" s="52"/>
      <c r="G197" s="124" t="s">
        <v>43</v>
      </c>
      <c r="H197" s="126" t="s">
        <v>37</v>
      </c>
      <c r="I197" s="127"/>
      <c r="J197" s="56"/>
      <c r="K197" s="52"/>
    </row>
    <row r="198" spans="2:11" ht="15" thickBot="1" x14ac:dyDescent="0.4">
      <c r="B198" s="125"/>
      <c r="C198" s="57" t="s">
        <v>39</v>
      </c>
      <c r="D198" s="58" t="s">
        <v>38</v>
      </c>
      <c r="E198" s="54"/>
      <c r="F198" s="52"/>
      <c r="G198" s="125"/>
      <c r="H198" s="57" t="s">
        <v>39</v>
      </c>
      <c r="I198" s="58" t="s">
        <v>38</v>
      </c>
      <c r="J198" s="54"/>
      <c r="K198" s="52"/>
    </row>
    <row r="199" spans="2:11" ht="15" thickTop="1" x14ac:dyDescent="0.35">
      <c r="B199" s="59" t="s">
        <v>15</v>
      </c>
      <c r="C199" s="60">
        <f t="shared" ref="C199:C204" si="9">C163</f>
        <v>60</v>
      </c>
      <c r="D199" s="61">
        <f>Summary!E18</f>
        <v>54</v>
      </c>
      <c r="E199" s="54"/>
      <c r="F199" s="52"/>
      <c r="G199" s="59" t="s">
        <v>15</v>
      </c>
      <c r="H199" s="60">
        <f t="shared" ref="H199:H204" si="10">C199</f>
        <v>60</v>
      </c>
      <c r="I199" s="61">
        <f>Summary!E19</f>
        <v>51</v>
      </c>
      <c r="J199" s="54"/>
      <c r="K199" s="52"/>
    </row>
    <row r="200" spans="2:11" x14ac:dyDescent="0.35">
      <c r="B200" s="59" t="s">
        <v>30</v>
      </c>
      <c r="C200" s="60">
        <f t="shared" si="9"/>
        <v>30</v>
      </c>
      <c r="D200" s="61">
        <f>Summary!G18</f>
        <v>27</v>
      </c>
      <c r="E200" s="54"/>
      <c r="F200" s="52"/>
      <c r="G200" s="59" t="s">
        <v>30</v>
      </c>
      <c r="H200" s="60">
        <f t="shared" si="10"/>
        <v>30</v>
      </c>
      <c r="I200" s="61">
        <f>Summary!G19</f>
        <v>21</v>
      </c>
      <c r="J200" s="54"/>
      <c r="K200" s="52"/>
    </row>
    <row r="201" spans="2:11" x14ac:dyDescent="0.35">
      <c r="B201" s="59" t="s">
        <v>4</v>
      </c>
      <c r="C201" s="60">
        <f t="shared" si="9"/>
        <v>80</v>
      </c>
      <c r="D201" s="61">
        <f>Summary!I18</f>
        <v>76</v>
      </c>
      <c r="E201" s="54"/>
      <c r="F201" s="52"/>
      <c r="G201" s="59" t="s">
        <v>4</v>
      </c>
      <c r="H201" s="60">
        <f t="shared" si="10"/>
        <v>80</v>
      </c>
      <c r="I201" s="61">
        <f>Summary!I19</f>
        <v>66</v>
      </c>
      <c r="J201" s="54"/>
      <c r="K201" s="52"/>
    </row>
    <row r="202" spans="2:11" x14ac:dyDescent="0.35">
      <c r="B202" s="62" t="s">
        <v>5</v>
      </c>
      <c r="C202" s="60">
        <f t="shared" si="9"/>
        <v>80</v>
      </c>
      <c r="D202" s="61">
        <f>Summary!K18</f>
        <v>66</v>
      </c>
      <c r="E202" s="54"/>
      <c r="F202" s="52"/>
      <c r="G202" s="62" t="s">
        <v>5</v>
      </c>
      <c r="H202" s="60">
        <f t="shared" si="10"/>
        <v>80</v>
      </c>
      <c r="I202" s="61">
        <f>Summary!K19</f>
        <v>76</v>
      </c>
      <c r="J202" s="54"/>
      <c r="K202" s="52"/>
    </row>
    <row r="203" spans="2:11" x14ac:dyDescent="0.35">
      <c r="B203" s="62" t="s">
        <v>17</v>
      </c>
      <c r="C203" s="60">
        <f t="shared" si="9"/>
        <v>30</v>
      </c>
      <c r="D203" s="61">
        <f>Summary!M18</f>
        <v>28</v>
      </c>
      <c r="E203" s="54"/>
      <c r="F203" s="52"/>
      <c r="G203" s="62" t="s">
        <v>17</v>
      </c>
      <c r="H203" s="60">
        <f t="shared" si="10"/>
        <v>30</v>
      </c>
      <c r="I203" s="61">
        <f>Summary!M19</f>
        <v>16</v>
      </c>
      <c r="J203" s="54"/>
      <c r="K203" s="52"/>
    </row>
    <row r="204" spans="2:11" ht="15" thickBot="1" x14ac:dyDescent="0.4">
      <c r="B204" s="62" t="s">
        <v>46</v>
      </c>
      <c r="C204" s="60">
        <f t="shared" si="9"/>
        <v>80</v>
      </c>
      <c r="D204" s="61">
        <f>Summary!O18</f>
        <v>66</v>
      </c>
      <c r="E204" s="54"/>
      <c r="F204" s="52"/>
      <c r="G204" s="62" t="s">
        <v>46</v>
      </c>
      <c r="H204" s="60">
        <f t="shared" si="10"/>
        <v>80</v>
      </c>
      <c r="I204" s="61">
        <f>Summary!O19</f>
        <v>68</v>
      </c>
      <c r="J204" s="54"/>
      <c r="K204" s="52"/>
    </row>
    <row r="205" spans="2:11" ht="15.5" thickTop="1" thickBot="1" x14ac:dyDescent="0.4">
      <c r="B205" s="63" t="s">
        <v>11</v>
      </c>
      <c r="C205" s="64">
        <f>SUM(C199:C204)</f>
        <v>360</v>
      </c>
      <c r="D205" s="65">
        <f>SUM(D199:D204)</f>
        <v>317</v>
      </c>
      <c r="E205" s="54"/>
      <c r="F205" s="52"/>
      <c r="G205" s="63" t="s">
        <v>11</v>
      </c>
      <c r="H205" s="64">
        <f>SUM(H199:H204)</f>
        <v>360</v>
      </c>
      <c r="I205" s="65">
        <f>SUM(I199:I204)</f>
        <v>298</v>
      </c>
      <c r="J205" s="54"/>
      <c r="K205" s="52"/>
    </row>
    <row r="206" spans="2:11" ht="15.5" thickTop="1" thickBot="1" x14ac:dyDescent="0.4">
      <c r="B206" s="66" t="s">
        <v>32</v>
      </c>
      <c r="C206" s="128">
        <f>D205/C205</f>
        <v>0.88055555555555554</v>
      </c>
      <c r="D206" s="129"/>
      <c r="E206" s="54"/>
      <c r="F206" s="52"/>
      <c r="G206" s="66" t="s">
        <v>32</v>
      </c>
      <c r="H206" s="128">
        <f>I205/H205</f>
        <v>0.82777777777777772</v>
      </c>
      <c r="I206" s="129"/>
      <c r="J206" s="54"/>
      <c r="K206" s="52"/>
    </row>
    <row r="207" spans="2:11" ht="15.5" thickTop="1" thickBot="1" x14ac:dyDescent="0.4">
      <c r="B207" s="63" t="s">
        <v>21</v>
      </c>
      <c r="C207" s="83">
        <f>Summary!S18</f>
        <v>21</v>
      </c>
      <c r="D207" s="81">
        <f>Summary!S7</f>
        <v>44</v>
      </c>
      <c r="E207" s="54"/>
      <c r="F207" s="52"/>
      <c r="G207" s="63" t="s">
        <v>21</v>
      </c>
      <c r="H207" s="83">
        <f>Summary!S19</f>
        <v>31</v>
      </c>
      <c r="I207" s="81">
        <f>Summary!S7</f>
        <v>44</v>
      </c>
      <c r="J207" s="54"/>
      <c r="K207" s="52"/>
    </row>
    <row r="208" spans="2:11" ht="30" thickTop="1" thickBot="1" x14ac:dyDescent="0.4">
      <c r="B208" s="67" t="s">
        <v>33</v>
      </c>
      <c r="C208" s="134"/>
      <c r="D208" s="135"/>
      <c r="E208" s="54"/>
      <c r="F208" s="52"/>
      <c r="G208" s="67" t="s">
        <v>33</v>
      </c>
      <c r="H208" s="134"/>
      <c r="I208" s="135"/>
      <c r="J208" s="54"/>
      <c r="K208" s="52"/>
    </row>
    <row r="209" spans="2:11" ht="30" thickTop="1" thickBot="1" x14ac:dyDescent="0.4">
      <c r="B209" s="67" t="s">
        <v>34</v>
      </c>
      <c r="C209" s="131"/>
      <c r="D209" s="132"/>
      <c r="E209" s="54"/>
      <c r="F209" s="52"/>
      <c r="G209" s="67" t="s">
        <v>34</v>
      </c>
      <c r="H209" s="131"/>
      <c r="I209" s="132"/>
      <c r="J209" s="54"/>
      <c r="K209" s="52"/>
    </row>
    <row r="210" spans="2:11" ht="15" thickTop="1" x14ac:dyDescent="0.35">
      <c r="B210" s="50"/>
      <c r="C210" s="51"/>
      <c r="D210" s="51"/>
      <c r="E210" s="51"/>
      <c r="F210" s="52"/>
      <c r="G210" s="50"/>
      <c r="H210" s="51"/>
      <c r="I210" s="51"/>
      <c r="J210" s="51"/>
      <c r="K210" s="52"/>
    </row>
    <row r="211" spans="2:11" x14ac:dyDescent="0.35">
      <c r="B211" s="130" t="s">
        <v>35</v>
      </c>
      <c r="C211" s="130"/>
      <c r="D211" s="52"/>
      <c r="E211" s="52"/>
      <c r="F211" s="52"/>
      <c r="G211" s="130" t="s">
        <v>35</v>
      </c>
      <c r="H211" s="130"/>
      <c r="I211" s="52"/>
      <c r="J211" s="52"/>
      <c r="K211" s="52"/>
    </row>
    <row r="212" spans="2:11" x14ac:dyDescent="0.35">
      <c r="B212" s="68" t="s">
        <v>36</v>
      </c>
      <c r="C212" s="69">
        <f>C176</f>
        <v>45975</v>
      </c>
      <c r="D212" s="52"/>
      <c r="E212" s="52"/>
      <c r="F212" s="52"/>
      <c r="G212" s="68" t="s">
        <v>36</v>
      </c>
      <c r="H212" s="69">
        <f>H176</f>
        <v>45975</v>
      </c>
      <c r="I212" s="52"/>
      <c r="J212" s="52"/>
      <c r="K212" s="52"/>
    </row>
    <row r="213" spans="2:11" x14ac:dyDescent="0.35">
      <c r="B213" s="50"/>
      <c r="C213" s="51"/>
      <c r="D213" s="51"/>
      <c r="E213" s="51"/>
      <c r="F213" s="52"/>
      <c r="G213" s="50"/>
      <c r="H213" s="51"/>
      <c r="I213" s="51"/>
      <c r="J213" s="51"/>
      <c r="K213" s="52"/>
    </row>
    <row r="214" spans="2:11" x14ac:dyDescent="0.35">
      <c r="B214" s="50"/>
      <c r="C214" s="130"/>
      <c r="D214" s="130"/>
      <c r="E214" s="130"/>
      <c r="F214" s="130"/>
      <c r="G214" s="50"/>
      <c r="H214" s="130"/>
      <c r="I214" s="130"/>
      <c r="J214" s="130"/>
      <c r="K214" s="130"/>
    </row>
    <row r="215" spans="2:11" x14ac:dyDescent="0.35">
      <c r="B215" s="52"/>
      <c r="C215" s="130"/>
      <c r="D215" s="130"/>
      <c r="E215" s="130"/>
      <c r="F215" s="51"/>
      <c r="G215" s="52"/>
      <c r="H215" s="130"/>
      <c r="I215" s="130"/>
      <c r="J215" s="130"/>
      <c r="K215" s="51"/>
    </row>
    <row r="216" spans="2:11" x14ac:dyDescent="0.35">
      <c r="B216" s="52"/>
      <c r="C216" s="52"/>
      <c r="D216" s="52"/>
      <c r="E216" s="52"/>
      <c r="F216" s="52"/>
      <c r="G216" s="52"/>
      <c r="H216" s="52"/>
      <c r="I216" s="52"/>
      <c r="J216" s="52"/>
      <c r="K216" s="52"/>
    </row>
    <row r="217" spans="2:11" x14ac:dyDescent="0.35">
      <c r="B217" s="50"/>
      <c r="C217" s="51"/>
      <c r="D217" s="51"/>
      <c r="E217" s="51"/>
      <c r="F217" s="52"/>
      <c r="G217" s="50"/>
      <c r="H217" s="51"/>
      <c r="I217" s="51"/>
      <c r="J217" s="51"/>
      <c r="K217" s="52"/>
    </row>
    <row r="218" spans="2:11" x14ac:dyDescent="0.35">
      <c r="B218" s="50"/>
      <c r="C218" s="51"/>
      <c r="D218" s="51"/>
      <c r="E218" s="51"/>
      <c r="F218" s="52"/>
      <c r="G218" s="50"/>
      <c r="H218" s="51"/>
      <c r="I218" s="51"/>
      <c r="J218" s="51"/>
      <c r="K218" s="52"/>
    </row>
    <row r="219" spans="2:11" x14ac:dyDescent="0.35">
      <c r="B219" s="50"/>
      <c r="C219" s="51"/>
      <c r="D219" s="51"/>
      <c r="E219" s="51"/>
      <c r="F219" s="52"/>
      <c r="G219" s="50"/>
      <c r="H219" s="51"/>
      <c r="I219" s="51"/>
      <c r="J219" s="51"/>
      <c r="K219" s="52"/>
    </row>
    <row r="220" spans="2:11" x14ac:dyDescent="0.35">
      <c r="B220" s="50"/>
      <c r="C220" s="51"/>
      <c r="D220" s="51"/>
      <c r="E220" s="51"/>
      <c r="F220" s="52"/>
      <c r="G220" s="50"/>
      <c r="H220" s="51"/>
      <c r="I220" s="51"/>
      <c r="J220" s="51"/>
      <c r="K220" s="52"/>
    </row>
    <row r="221" spans="2:11" x14ac:dyDescent="0.35">
      <c r="B221" s="50"/>
      <c r="C221" s="51"/>
      <c r="D221" s="51"/>
      <c r="E221" s="51"/>
      <c r="F221" s="52"/>
      <c r="G221" s="50"/>
      <c r="H221" s="51"/>
      <c r="I221" s="51"/>
      <c r="J221" s="51"/>
      <c r="K221" s="52"/>
    </row>
    <row r="222" spans="2:11" x14ac:dyDescent="0.35">
      <c r="B222" s="53" t="s">
        <v>22</v>
      </c>
      <c r="C222" s="53"/>
      <c r="D222" s="53" t="s">
        <v>29</v>
      </c>
      <c r="E222" s="53" t="str">
        <f>E186</f>
        <v>2025/2026</v>
      </c>
      <c r="F222" s="52"/>
      <c r="G222" s="53" t="s">
        <v>22</v>
      </c>
      <c r="H222" s="53"/>
      <c r="I222" s="53" t="s">
        <v>29</v>
      </c>
      <c r="J222" s="53" t="str">
        <f>E222</f>
        <v>2025/2026</v>
      </c>
      <c r="K222" s="52"/>
    </row>
    <row r="223" spans="2:11" x14ac:dyDescent="0.35">
      <c r="B223" s="53" t="s">
        <v>23</v>
      </c>
      <c r="C223" s="53"/>
      <c r="D223" s="53"/>
      <c r="E223" s="53"/>
      <c r="F223" s="52"/>
      <c r="G223" s="53" t="s">
        <v>23</v>
      </c>
      <c r="H223" s="53"/>
      <c r="I223" s="53"/>
      <c r="J223" s="53"/>
      <c r="K223" s="52"/>
    </row>
    <row r="224" spans="2:11" x14ac:dyDescent="0.35">
      <c r="B224" s="53" t="s">
        <v>24</v>
      </c>
      <c r="C224" s="53"/>
      <c r="D224" s="53" t="s">
        <v>41</v>
      </c>
      <c r="E224" s="53" t="str">
        <f>E188</f>
        <v>P1-A</v>
      </c>
      <c r="F224" s="52"/>
      <c r="G224" s="53" t="s">
        <v>24</v>
      </c>
      <c r="H224" s="53"/>
      <c r="I224" s="53" t="s">
        <v>41</v>
      </c>
      <c r="J224" s="53" t="str">
        <f>E224</f>
        <v>P1-A</v>
      </c>
      <c r="K224" s="52"/>
    </row>
    <row r="225" spans="2:11" x14ac:dyDescent="0.35">
      <c r="B225" s="53" t="s">
        <v>25</v>
      </c>
      <c r="C225" s="53"/>
      <c r="D225" s="53"/>
      <c r="E225" s="52"/>
      <c r="F225" s="52"/>
      <c r="G225" s="53" t="s">
        <v>25</v>
      </c>
      <c r="H225" s="53"/>
      <c r="I225" s="53"/>
      <c r="J225" s="52"/>
      <c r="K225" s="52"/>
    </row>
    <row r="226" spans="2:11" x14ac:dyDescent="0.35">
      <c r="B226" s="53" t="s">
        <v>26</v>
      </c>
      <c r="C226" s="53"/>
      <c r="D226" s="53"/>
      <c r="E226" s="53"/>
      <c r="F226" s="52"/>
      <c r="G226" s="53" t="s">
        <v>26</v>
      </c>
      <c r="H226" s="53"/>
      <c r="I226" s="53"/>
      <c r="J226" s="53"/>
      <c r="K226" s="52"/>
    </row>
    <row r="227" spans="2:11" x14ac:dyDescent="0.35">
      <c r="B227" s="53" t="s">
        <v>9</v>
      </c>
      <c r="C227" s="53"/>
      <c r="D227" s="53" t="s">
        <v>12</v>
      </c>
      <c r="E227" s="53" t="str">
        <f>E191</f>
        <v xml:space="preserve"> INFERIEUR</v>
      </c>
      <c r="F227" s="52"/>
      <c r="G227" s="53" t="s">
        <v>9</v>
      </c>
      <c r="H227" s="53"/>
      <c r="I227" s="53" t="s">
        <v>12</v>
      </c>
      <c r="J227" s="53" t="str">
        <f>E227</f>
        <v xml:space="preserve"> INFERIEUR</v>
      </c>
      <c r="K227" s="52"/>
    </row>
    <row r="228" spans="2:11" x14ac:dyDescent="0.35">
      <c r="B228" s="53" t="s">
        <v>10</v>
      </c>
      <c r="C228" s="53"/>
      <c r="D228" s="53"/>
      <c r="E228" s="53"/>
      <c r="F228" s="52"/>
      <c r="G228" s="53" t="s">
        <v>10</v>
      </c>
      <c r="H228" s="53"/>
      <c r="I228" s="53"/>
      <c r="J228" s="53"/>
      <c r="K228" s="52"/>
    </row>
    <row r="229" spans="2:11" x14ac:dyDescent="0.35">
      <c r="B229" s="53" t="s">
        <v>27</v>
      </c>
      <c r="C229" s="53"/>
      <c r="D229" s="53"/>
      <c r="E229" s="53"/>
      <c r="F229" s="52"/>
      <c r="G229" s="53" t="s">
        <v>27</v>
      </c>
      <c r="H229" s="53"/>
      <c r="I229" s="53"/>
      <c r="J229" s="53"/>
      <c r="K229" s="52"/>
    </row>
    <row r="230" spans="2:11" ht="15" thickBot="1" x14ac:dyDescent="0.4">
      <c r="B230" s="53"/>
      <c r="C230" s="54"/>
      <c r="D230" s="54"/>
      <c r="E230" s="54"/>
      <c r="F230" s="52"/>
      <c r="G230" s="53"/>
      <c r="H230" s="54"/>
      <c r="I230" s="54"/>
      <c r="J230" s="54"/>
      <c r="K230" s="52"/>
    </row>
    <row r="231" spans="2:11" ht="15.5" thickTop="1" thickBot="1" x14ac:dyDescent="0.4">
      <c r="B231" s="53"/>
      <c r="C231" s="23" t="s">
        <v>42</v>
      </c>
      <c r="D231" s="23"/>
      <c r="E231" s="53"/>
      <c r="F231" s="52"/>
      <c r="G231" s="53"/>
      <c r="H231" s="23" t="s">
        <v>42</v>
      </c>
      <c r="I231" s="23"/>
      <c r="J231" s="53"/>
      <c r="K231" s="52"/>
    </row>
    <row r="232" spans="2:11" ht="15.5" thickTop="1" thickBot="1" x14ac:dyDescent="0.4">
      <c r="B232" s="53" t="s">
        <v>40</v>
      </c>
      <c r="C232" s="123" t="str">
        <f>Summary!C20</f>
        <v>IRAYASOHOZA SHAMI   Baraka</v>
      </c>
      <c r="D232" s="123"/>
      <c r="E232" s="55"/>
      <c r="F232" s="52"/>
      <c r="G232" s="53" t="s">
        <v>40</v>
      </c>
      <c r="H232" s="123" t="str">
        <f>Summary!C21</f>
        <v>IREBE GIKUNDIRO Ella</v>
      </c>
      <c r="I232" s="123"/>
      <c r="J232" s="55"/>
      <c r="K232" s="52"/>
    </row>
    <row r="233" spans="2:11" ht="15" thickTop="1" x14ac:dyDescent="0.35">
      <c r="B233" s="124" t="s">
        <v>43</v>
      </c>
      <c r="C233" s="126" t="s">
        <v>37</v>
      </c>
      <c r="D233" s="127"/>
      <c r="E233" s="56"/>
      <c r="F233" s="52"/>
      <c r="G233" s="124" t="s">
        <v>43</v>
      </c>
      <c r="H233" s="126" t="s">
        <v>37</v>
      </c>
      <c r="I233" s="127"/>
      <c r="J233" s="56"/>
      <c r="K233" s="52"/>
    </row>
    <row r="234" spans="2:11" ht="15" thickBot="1" x14ac:dyDescent="0.4">
      <c r="B234" s="125"/>
      <c r="C234" s="57" t="s">
        <v>39</v>
      </c>
      <c r="D234" s="58" t="s">
        <v>38</v>
      </c>
      <c r="E234" s="54"/>
      <c r="F234" s="52"/>
      <c r="G234" s="125"/>
      <c r="H234" s="57" t="s">
        <v>39</v>
      </c>
      <c r="I234" s="58" t="s">
        <v>38</v>
      </c>
      <c r="J234" s="54"/>
      <c r="K234" s="52"/>
    </row>
    <row r="235" spans="2:11" ht="15" thickTop="1" x14ac:dyDescent="0.35">
      <c r="B235" s="59" t="s">
        <v>15</v>
      </c>
      <c r="C235" s="60">
        <f t="shared" ref="C235:C240" si="11">C199</f>
        <v>60</v>
      </c>
      <c r="D235" s="61">
        <f>Summary!E20</f>
        <v>56</v>
      </c>
      <c r="E235" s="54"/>
      <c r="F235" s="52"/>
      <c r="G235" s="59" t="s">
        <v>15</v>
      </c>
      <c r="H235" s="60">
        <f t="shared" ref="H235:H240" si="12">C235</f>
        <v>60</v>
      </c>
      <c r="I235" s="61">
        <f>Summary!E21</f>
        <v>59</v>
      </c>
      <c r="J235" s="54"/>
      <c r="K235" s="52"/>
    </row>
    <row r="236" spans="2:11" x14ac:dyDescent="0.35">
      <c r="B236" s="59" t="s">
        <v>30</v>
      </c>
      <c r="C236" s="60">
        <f t="shared" si="11"/>
        <v>30</v>
      </c>
      <c r="D236" s="61">
        <f>Summary!G20</f>
        <v>22</v>
      </c>
      <c r="E236" s="54"/>
      <c r="F236" s="52"/>
      <c r="G236" s="59" t="s">
        <v>30</v>
      </c>
      <c r="H236" s="60">
        <f t="shared" si="12"/>
        <v>30</v>
      </c>
      <c r="I236" s="61">
        <f>Summary!G21</f>
        <v>30</v>
      </c>
      <c r="J236" s="54"/>
      <c r="K236" s="52"/>
    </row>
    <row r="237" spans="2:11" x14ac:dyDescent="0.35">
      <c r="B237" s="59" t="s">
        <v>4</v>
      </c>
      <c r="C237" s="60">
        <f t="shared" si="11"/>
        <v>80</v>
      </c>
      <c r="D237" s="61">
        <f>Summary!I20</f>
        <v>78</v>
      </c>
      <c r="E237" s="54"/>
      <c r="F237" s="52"/>
      <c r="G237" s="59" t="s">
        <v>4</v>
      </c>
      <c r="H237" s="60">
        <f t="shared" si="12"/>
        <v>80</v>
      </c>
      <c r="I237" s="61">
        <f>Summary!I21</f>
        <v>80</v>
      </c>
      <c r="J237" s="54"/>
      <c r="K237" s="52"/>
    </row>
    <row r="238" spans="2:11" x14ac:dyDescent="0.35">
      <c r="B238" s="62" t="s">
        <v>5</v>
      </c>
      <c r="C238" s="60">
        <f t="shared" si="11"/>
        <v>80</v>
      </c>
      <c r="D238" s="61">
        <f>Summary!K20</f>
        <v>80</v>
      </c>
      <c r="E238" s="54"/>
      <c r="F238" s="52"/>
      <c r="G238" s="62" t="s">
        <v>5</v>
      </c>
      <c r="H238" s="60">
        <f t="shared" si="12"/>
        <v>80</v>
      </c>
      <c r="I238" s="61">
        <f>Summary!K21</f>
        <v>80</v>
      </c>
      <c r="J238" s="54"/>
      <c r="K238" s="52"/>
    </row>
    <row r="239" spans="2:11" x14ac:dyDescent="0.35">
      <c r="B239" s="62" t="s">
        <v>17</v>
      </c>
      <c r="C239" s="60">
        <f t="shared" si="11"/>
        <v>30</v>
      </c>
      <c r="D239" s="61">
        <f>Summary!M20</f>
        <v>20</v>
      </c>
      <c r="E239" s="54"/>
      <c r="F239" s="52"/>
      <c r="G239" s="62" t="s">
        <v>17</v>
      </c>
      <c r="H239" s="60">
        <f t="shared" si="12"/>
        <v>30</v>
      </c>
      <c r="I239" s="61">
        <f>Summary!M21</f>
        <v>29</v>
      </c>
      <c r="J239" s="54"/>
      <c r="K239" s="52"/>
    </row>
    <row r="240" spans="2:11" ht="15" thickBot="1" x14ac:dyDescent="0.4">
      <c r="B240" s="62" t="s">
        <v>46</v>
      </c>
      <c r="C240" s="60">
        <f t="shared" si="11"/>
        <v>80</v>
      </c>
      <c r="D240" s="61">
        <f>Summary!O20</f>
        <v>50</v>
      </c>
      <c r="E240" s="54"/>
      <c r="F240" s="52"/>
      <c r="G240" s="62" t="s">
        <v>46</v>
      </c>
      <c r="H240" s="60">
        <f t="shared" si="12"/>
        <v>80</v>
      </c>
      <c r="I240" s="61">
        <f>Summary!O21</f>
        <v>76</v>
      </c>
      <c r="J240" s="54"/>
      <c r="K240" s="52"/>
    </row>
    <row r="241" spans="2:11" ht="15.5" thickTop="1" thickBot="1" x14ac:dyDescent="0.4">
      <c r="B241" s="63" t="s">
        <v>11</v>
      </c>
      <c r="C241" s="64">
        <f>SUM(C235:C240)</f>
        <v>360</v>
      </c>
      <c r="D241" s="65">
        <f>SUM(D235:D240)</f>
        <v>306</v>
      </c>
      <c r="E241" s="54"/>
      <c r="F241" s="52"/>
      <c r="G241" s="63" t="s">
        <v>11</v>
      </c>
      <c r="H241" s="64">
        <f>SUM(H235:H240)</f>
        <v>360</v>
      </c>
      <c r="I241" s="65">
        <f>SUM(I235:I240)</f>
        <v>354</v>
      </c>
      <c r="J241" s="54"/>
      <c r="K241" s="52"/>
    </row>
    <row r="242" spans="2:11" ht="15.5" thickTop="1" thickBot="1" x14ac:dyDescent="0.4">
      <c r="B242" s="66" t="s">
        <v>32</v>
      </c>
      <c r="C242" s="128">
        <f>D241/C241</f>
        <v>0.85</v>
      </c>
      <c r="D242" s="129"/>
      <c r="E242" s="54"/>
      <c r="F242" s="52"/>
      <c r="G242" s="66" t="s">
        <v>32</v>
      </c>
      <c r="H242" s="128">
        <f>I241/H241</f>
        <v>0.98333333333333328</v>
      </c>
      <c r="I242" s="129"/>
      <c r="J242" s="54"/>
      <c r="K242" s="52"/>
    </row>
    <row r="243" spans="2:11" ht="15.5" thickTop="1" thickBot="1" x14ac:dyDescent="0.4">
      <c r="B243" s="63" t="s">
        <v>21</v>
      </c>
      <c r="C243" s="83">
        <f>Summary!S20</f>
        <v>25</v>
      </c>
      <c r="D243" s="81">
        <f>Summary!S7</f>
        <v>44</v>
      </c>
      <c r="E243" s="54"/>
      <c r="F243" s="52"/>
      <c r="G243" s="63" t="s">
        <v>21</v>
      </c>
      <c r="H243" s="83">
        <f>Summary!S21</f>
        <v>3</v>
      </c>
      <c r="I243" s="81">
        <f>Summary!S7</f>
        <v>44</v>
      </c>
      <c r="J243" s="54"/>
      <c r="K243" s="52"/>
    </row>
    <row r="244" spans="2:11" ht="30" thickTop="1" thickBot="1" x14ac:dyDescent="0.4">
      <c r="B244" s="67" t="s">
        <v>33</v>
      </c>
      <c r="C244" s="134"/>
      <c r="D244" s="135"/>
      <c r="E244" s="54"/>
      <c r="F244" s="52"/>
      <c r="G244" s="67" t="s">
        <v>33</v>
      </c>
      <c r="H244" s="134"/>
      <c r="I244" s="135"/>
      <c r="J244" s="54"/>
      <c r="K244" s="52"/>
    </row>
    <row r="245" spans="2:11" ht="30" thickTop="1" thickBot="1" x14ac:dyDescent="0.4">
      <c r="B245" s="67" t="s">
        <v>34</v>
      </c>
      <c r="C245" s="131"/>
      <c r="D245" s="132"/>
      <c r="E245" s="54"/>
      <c r="F245" s="52"/>
      <c r="G245" s="67" t="s">
        <v>34</v>
      </c>
      <c r="H245" s="131"/>
      <c r="I245" s="132"/>
      <c r="J245" s="54"/>
      <c r="K245" s="52"/>
    </row>
    <row r="246" spans="2:11" ht="15" thickTop="1" x14ac:dyDescent="0.35">
      <c r="B246" s="50"/>
      <c r="C246" s="51"/>
      <c r="D246" s="51"/>
      <c r="E246" s="51"/>
      <c r="F246" s="52"/>
      <c r="G246" s="50"/>
      <c r="H246" s="51"/>
      <c r="I246" s="51"/>
      <c r="J246" s="51"/>
      <c r="K246" s="52"/>
    </row>
    <row r="247" spans="2:11" x14ac:dyDescent="0.35">
      <c r="B247" s="130" t="s">
        <v>35</v>
      </c>
      <c r="C247" s="130"/>
      <c r="D247" s="52"/>
      <c r="E247" s="52"/>
      <c r="F247" s="52"/>
      <c r="G247" s="130" t="s">
        <v>35</v>
      </c>
      <c r="H247" s="130"/>
      <c r="I247" s="52"/>
      <c r="J247" s="52"/>
      <c r="K247" s="52"/>
    </row>
    <row r="248" spans="2:11" x14ac:dyDescent="0.35">
      <c r="B248" s="68" t="s">
        <v>36</v>
      </c>
      <c r="C248" s="69">
        <f>C212</f>
        <v>45975</v>
      </c>
      <c r="D248" s="52"/>
      <c r="E248" s="52"/>
      <c r="F248" s="52"/>
      <c r="G248" s="68" t="s">
        <v>36</v>
      </c>
      <c r="H248" s="69">
        <f>H212</f>
        <v>45975</v>
      </c>
      <c r="I248" s="52"/>
      <c r="J248" s="52"/>
      <c r="K248" s="52"/>
    </row>
    <row r="249" spans="2:11" x14ac:dyDescent="0.35">
      <c r="B249" s="50"/>
      <c r="C249" s="51"/>
      <c r="D249" s="51"/>
      <c r="E249" s="51"/>
      <c r="F249" s="52"/>
      <c r="G249" s="50"/>
      <c r="H249" s="51"/>
      <c r="I249" s="51"/>
      <c r="J249" s="51"/>
      <c r="K249" s="52"/>
    </row>
    <row r="250" spans="2:11" x14ac:dyDescent="0.35">
      <c r="B250" s="50"/>
      <c r="C250" s="130"/>
      <c r="D250" s="130"/>
      <c r="E250" s="130"/>
      <c r="F250" s="130"/>
      <c r="G250" s="50"/>
      <c r="H250" s="130"/>
      <c r="I250" s="130"/>
      <c r="J250" s="130"/>
      <c r="K250" s="130"/>
    </row>
    <row r="251" spans="2:11" x14ac:dyDescent="0.35">
      <c r="B251" s="52"/>
      <c r="C251" s="130"/>
      <c r="D251" s="130"/>
      <c r="E251" s="130"/>
      <c r="F251" s="51"/>
      <c r="G251" s="52"/>
      <c r="H251" s="130"/>
      <c r="I251" s="130"/>
      <c r="J251" s="130"/>
      <c r="K251" s="51"/>
    </row>
    <row r="252" spans="2:11" x14ac:dyDescent="0.35">
      <c r="B252" s="52"/>
      <c r="C252" s="52"/>
      <c r="D252" s="52"/>
      <c r="E252" s="52"/>
      <c r="F252" s="52"/>
      <c r="G252" s="52"/>
      <c r="H252" s="52"/>
      <c r="I252" s="52"/>
      <c r="J252" s="52"/>
      <c r="K252" s="52"/>
    </row>
    <row r="253" spans="2:11" x14ac:dyDescent="0.35">
      <c r="B253" s="50"/>
      <c r="C253" s="51"/>
      <c r="D253" s="51"/>
      <c r="E253" s="51"/>
      <c r="F253" s="52"/>
      <c r="G253" s="50"/>
      <c r="H253" s="51"/>
      <c r="I253" s="51"/>
      <c r="J253" s="51"/>
      <c r="K253" s="52"/>
    </row>
    <row r="254" spans="2:11" x14ac:dyDescent="0.35">
      <c r="B254" s="50"/>
      <c r="C254" s="51"/>
      <c r="D254" s="51"/>
      <c r="E254" s="51"/>
      <c r="F254" s="52"/>
      <c r="G254" s="50"/>
      <c r="H254" s="51"/>
      <c r="I254" s="51"/>
      <c r="J254" s="51"/>
      <c r="K254" s="52"/>
    </row>
    <row r="255" spans="2:11" x14ac:dyDescent="0.35">
      <c r="B255" s="50"/>
      <c r="C255" s="51"/>
      <c r="D255" s="51"/>
      <c r="E255" s="51"/>
      <c r="F255" s="52"/>
      <c r="G255" s="50"/>
      <c r="H255" s="51"/>
      <c r="I255" s="51"/>
      <c r="J255" s="51"/>
      <c r="K255" s="52"/>
    </row>
    <row r="256" spans="2:11" x14ac:dyDescent="0.35">
      <c r="B256" s="50"/>
      <c r="C256" s="51"/>
      <c r="D256" s="51"/>
      <c r="E256" s="51"/>
      <c r="F256" s="52"/>
      <c r="G256" s="50"/>
      <c r="H256" s="51"/>
      <c r="I256" s="51"/>
      <c r="J256" s="51"/>
      <c r="K256" s="52"/>
    </row>
    <row r="257" spans="2:11" x14ac:dyDescent="0.35">
      <c r="B257" s="50"/>
      <c r="C257" s="51"/>
      <c r="D257" s="51"/>
      <c r="E257" s="51"/>
      <c r="F257" s="52"/>
      <c r="G257" s="50"/>
      <c r="H257" s="51"/>
      <c r="I257" s="51"/>
      <c r="J257" s="51"/>
      <c r="K257" s="52"/>
    </row>
    <row r="258" spans="2:11" x14ac:dyDescent="0.35">
      <c r="B258" s="53" t="s">
        <v>22</v>
      </c>
      <c r="C258" s="53"/>
      <c r="D258" s="53" t="s">
        <v>29</v>
      </c>
      <c r="E258" s="53" t="str">
        <f>E222</f>
        <v>2025/2026</v>
      </c>
      <c r="F258" s="52"/>
      <c r="G258" s="53" t="s">
        <v>22</v>
      </c>
      <c r="H258" s="53"/>
      <c r="I258" s="53" t="s">
        <v>29</v>
      </c>
      <c r="J258" s="53" t="str">
        <f>E258</f>
        <v>2025/2026</v>
      </c>
      <c r="K258" s="52"/>
    </row>
    <row r="259" spans="2:11" x14ac:dyDescent="0.35">
      <c r="B259" s="53" t="s">
        <v>23</v>
      </c>
      <c r="C259" s="53"/>
      <c r="D259" s="53"/>
      <c r="E259" s="53"/>
      <c r="F259" s="52"/>
      <c r="G259" s="53" t="s">
        <v>23</v>
      </c>
      <c r="H259" s="53"/>
      <c r="I259" s="53"/>
      <c r="J259" s="53"/>
      <c r="K259" s="52"/>
    </row>
    <row r="260" spans="2:11" x14ac:dyDescent="0.35">
      <c r="B260" s="53" t="s">
        <v>24</v>
      </c>
      <c r="C260" s="53"/>
      <c r="D260" s="53" t="s">
        <v>41</v>
      </c>
      <c r="E260" s="53" t="str">
        <f>E224</f>
        <v>P1-A</v>
      </c>
      <c r="F260" s="52"/>
      <c r="G260" s="53" t="s">
        <v>24</v>
      </c>
      <c r="H260" s="53"/>
      <c r="I260" s="53" t="s">
        <v>41</v>
      </c>
      <c r="J260" s="53" t="str">
        <f>E260</f>
        <v>P1-A</v>
      </c>
      <c r="K260" s="52"/>
    </row>
    <row r="261" spans="2:11" x14ac:dyDescent="0.35">
      <c r="B261" s="53" t="s">
        <v>25</v>
      </c>
      <c r="C261" s="53"/>
      <c r="D261" s="53"/>
      <c r="E261" s="52"/>
      <c r="F261" s="52"/>
      <c r="G261" s="53" t="s">
        <v>25</v>
      </c>
      <c r="H261" s="53"/>
      <c r="I261" s="53"/>
      <c r="J261" s="52"/>
      <c r="K261" s="52"/>
    </row>
    <row r="262" spans="2:11" x14ac:dyDescent="0.35">
      <c r="B262" s="53" t="s">
        <v>26</v>
      </c>
      <c r="C262" s="53"/>
      <c r="D262" s="53"/>
      <c r="E262" s="53"/>
      <c r="F262" s="52"/>
      <c r="G262" s="53" t="s">
        <v>26</v>
      </c>
      <c r="H262" s="53"/>
      <c r="I262" s="53"/>
      <c r="J262" s="53"/>
      <c r="K262" s="52"/>
    </row>
    <row r="263" spans="2:11" x14ac:dyDescent="0.35">
      <c r="B263" s="53" t="s">
        <v>9</v>
      </c>
      <c r="C263" s="53"/>
      <c r="D263" s="53" t="s">
        <v>12</v>
      </c>
      <c r="E263" s="53" t="str">
        <f>E227</f>
        <v xml:space="preserve"> INFERIEUR</v>
      </c>
      <c r="F263" s="52"/>
      <c r="G263" s="53" t="s">
        <v>9</v>
      </c>
      <c r="H263" s="53"/>
      <c r="I263" s="53" t="s">
        <v>12</v>
      </c>
      <c r="J263" s="53" t="str">
        <f>E263</f>
        <v xml:space="preserve"> INFERIEUR</v>
      </c>
      <c r="K263" s="52"/>
    </row>
    <row r="264" spans="2:11" x14ac:dyDescent="0.35">
      <c r="B264" s="53" t="s">
        <v>10</v>
      </c>
      <c r="C264" s="53"/>
      <c r="D264" s="53"/>
      <c r="E264" s="53"/>
      <c r="F264" s="52"/>
      <c r="G264" s="53" t="s">
        <v>10</v>
      </c>
      <c r="H264" s="53"/>
      <c r="I264" s="53"/>
      <c r="J264" s="53"/>
      <c r="K264" s="52"/>
    </row>
    <row r="265" spans="2:11" x14ac:dyDescent="0.35">
      <c r="B265" s="53" t="s">
        <v>27</v>
      </c>
      <c r="C265" s="53"/>
      <c r="D265" s="53"/>
      <c r="E265" s="53"/>
      <c r="F265" s="52"/>
      <c r="G265" s="53" t="s">
        <v>27</v>
      </c>
      <c r="H265" s="53"/>
      <c r="I265" s="53"/>
      <c r="J265" s="53"/>
      <c r="K265" s="52"/>
    </row>
    <row r="266" spans="2:11" ht="15" thickBot="1" x14ac:dyDescent="0.4">
      <c r="B266" s="53"/>
      <c r="C266" s="54"/>
      <c r="D266" s="54"/>
      <c r="E266" s="54"/>
      <c r="F266" s="52"/>
      <c r="G266" s="53"/>
      <c r="H266" s="54"/>
      <c r="I266" s="54"/>
      <c r="J266" s="54"/>
      <c r="K266" s="52"/>
    </row>
    <row r="267" spans="2:11" ht="15.5" thickTop="1" thickBot="1" x14ac:dyDescent="0.4">
      <c r="B267" s="53"/>
      <c r="C267" s="23" t="s">
        <v>42</v>
      </c>
      <c r="D267" s="23"/>
      <c r="E267" s="53"/>
      <c r="F267" s="52"/>
      <c r="G267" s="53"/>
      <c r="H267" s="23" t="s">
        <v>42</v>
      </c>
      <c r="I267" s="23"/>
      <c r="J267" s="53"/>
      <c r="K267" s="52"/>
    </row>
    <row r="268" spans="2:11" ht="15.5" thickTop="1" thickBot="1" x14ac:dyDescent="0.4">
      <c r="B268" s="53" t="s">
        <v>40</v>
      </c>
      <c r="C268" s="123" t="str">
        <f>Summary!C22</f>
        <v>ISHAMI Honnette</v>
      </c>
      <c r="D268" s="123"/>
      <c r="E268" s="55"/>
      <c r="F268" s="52"/>
      <c r="G268" s="53" t="s">
        <v>40</v>
      </c>
      <c r="H268" s="123" t="str">
        <f>Summary!C23</f>
        <v>ISIMBI   Tiffah</v>
      </c>
      <c r="I268" s="123"/>
      <c r="J268" s="55"/>
      <c r="K268" s="52"/>
    </row>
    <row r="269" spans="2:11" ht="15" thickTop="1" x14ac:dyDescent="0.35">
      <c r="B269" s="124" t="s">
        <v>43</v>
      </c>
      <c r="C269" s="126" t="s">
        <v>37</v>
      </c>
      <c r="D269" s="127"/>
      <c r="E269" s="56"/>
      <c r="F269" s="52"/>
      <c r="G269" s="124" t="s">
        <v>43</v>
      </c>
      <c r="H269" s="126" t="s">
        <v>37</v>
      </c>
      <c r="I269" s="127"/>
      <c r="J269" s="56"/>
      <c r="K269" s="52"/>
    </row>
    <row r="270" spans="2:11" ht="15" thickBot="1" x14ac:dyDescent="0.4">
      <c r="B270" s="125"/>
      <c r="C270" s="57" t="s">
        <v>39</v>
      </c>
      <c r="D270" s="58" t="s">
        <v>38</v>
      </c>
      <c r="E270" s="54"/>
      <c r="F270" s="52"/>
      <c r="G270" s="125"/>
      <c r="H270" s="57" t="s">
        <v>39</v>
      </c>
      <c r="I270" s="58" t="s">
        <v>38</v>
      </c>
      <c r="J270" s="54"/>
      <c r="K270" s="52"/>
    </row>
    <row r="271" spans="2:11" ht="15" thickTop="1" x14ac:dyDescent="0.35">
      <c r="B271" s="59" t="s">
        <v>15</v>
      </c>
      <c r="C271" s="60">
        <f t="shared" ref="C271:C276" si="13">C235</f>
        <v>60</v>
      </c>
      <c r="D271" s="61">
        <f>Summary!E22</f>
        <v>58</v>
      </c>
      <c r="E271" s="54"/>
      <c r="F271" s="52"/>
      <c r="G271" s="59" t="s">
        <v>15</v>
      </c>
      <c r="H271" s="60">
        <f t="shared" ref="H271:H276" si="14">C271</f>
        <v>60</v>
      </c>
      <c r="I271" s="61">
        <f>Summary!E23</f>
        <v>44</v>
      </c>
      <c r="J271" s="54"/>
      <c r="K271" s="52"/>
    </row>
    <row r="272" spans="2:11" x14ac:dyDescent="0.35">
      <c r="B272" s="59" t="s">
        <v>30</v>
      </c>
      <c r="C272" s="60">
        <f t="shared" si="13"/>
        <v>30</v>
      </c>
      <c r="D272" s="61">
        <f>Summary!G22</f>
        <v>30</v>
      </c>
      <c r="E272" s="54"/>
      <c r="F272" s="52"/>
      <c r="G272" s="59" t="s">
        <v>30</v>
      </c>
      <c r="H272" s="60">
        <f t="shared" si="14"/>
        <v>30</v>
      </c>
      <c r="I272" s="61">
        <f>Summary!G23</f>
        <v>16</v>
      </c>
      <c r="J272" s="54"/>
      <c r="K272" s="52"/>
    </row>
    <row r="273" spans="2:11" x14ac:dyDescent="0.35">
      <c r="B273" s="59" t="s">
        <v>4</v>
      </c>
      <c r="C273" s="60">
        <f t="shared" si="13"/>
        <v>80</v>
      </c>
      <c r="D273" s="61">
        <f>Summary!I22</f>
        <v>74</v>
      </c>
      <c r="E273" s="54"/>
      <c r="F273" s="52"/>
      <c r="G273" s="59" t="s">
        <v>4</v>
      </c>
      <c r="H273" s="60">
        <f t="shared" si="14"/>
        <v>80</v>
      </c>
      <c r="I273" s="61">
        <f>Summary!I23</f>
        <v>52</v>
      </c>
      <c r="J273" s="54"/>
      <c r="K273" s="52"/>
    </row>
    <row r="274" spans="2:11" x14ac:dyDescent="0.35">
      <c r="B274" s="62" t="s">
        <v>5</v>
      </c>
      <c r="C274" s="60">
        <f t="shared" si="13"/>
        <v>80</v>
      </c>
      <c r="D274" s="61">
        <f>Summary!K22</f>
        <v>70</v>
      </c>
      <c r="E274" s="54"/>
      <c r="F274" s="52"/>
      <c r="G274" s="62" t="s">
        <v>5</v>
      </c>
      <c r="H274" s="60">
        <f t="shared" si="14"/>
        <v>80</v>
      </c>
      <c r="I274" s="61">
        <f>Summary!K23</f>
        <v>68</v>
      </c>
      <c r="J274" s="54"/>
      <c r="K274" s="52"/>
    </row>
    <row r="275" spans="2:11" x14ac:dyDescent="0.35">
      <c r="B275" s="62" t="s">
        <v>17</v>
      </c>
      <c r="C275" s="60">
        <f t="shared" si="13"/>
        <v>30</v>
      </c>
      <c r="D275" s="61">
        <f>Summary!M22</f>
        <v>22</v>
      </c>
      <c r="E275" s="54"/>
      <c r="F275" s="52"/>
      <c r="G275" s="62" t="s">
        <v>17</v>
      </c>
      <c r="H275" s="60">
        <f t="shared" si="14"/>
        <v>30</v>
      </c>
      <c r="I275" s="61">
        <f>Summary!M23</f>
        <v>20</v>
      </c>
      <c r="J275" s="54"/>
      <c r="K275" s="52"/>
    </row>
    <row r="276" spans="2:11" ht="15" thickBot="1" x14ac:dyDescent="0.4">
      <c r="B276" s="62" t="s">
        <v>46</v>
      </c>
      <c r="C276" s="60">
        <f t="shared" si="13"/>
        <v>80</v>
      </c>
      <c r="D276" s="61">
        <f>Summary!O22</f>
        <v>64</v>
      </c>
      <c r="E276" s="54"/>
      <c r="F276" s="52"/>
      <c r="G276" s="62" t="s">
        <v>46</v>
      </c>
      <c r="H276" s="60">
        <f t="shared" si="14"/>
        <v>80</v>
      </c>
      <c r="I276" s="61">
        <f>Summary!O23</f>
        <v>30</v>
      </c>
      <c r="J276" s="54"/>
      <c r="K276" s="52"/>
    </row>
    <row r="277" spans="2:11" ht="15.5" thickTop="1" thickBot="1" x14ac:dyDescent="0.4">
      <c r="B277" s="63" t="s">
        <v>11</v>
      </c>
      <c r="C277" s="64">
        <f>SUM(C271:C276)</f>
        <v>360</v>
      </c>
      <c r="D277" s="65">
        <f>SUM(D271:D276)</f>
        <v>318</v>
      </c>
      <c r="E277" s="54"/>
      <c r="F277" s="52"/>
      <c r="G277" s="63" t="s">
        <v>11</v>
      </c>
      <c r="H277" s="64">
        <f>SUM(H271:H276)</f>
        <v>360</v>
      </c>
      <c r="I277" s="65">
        <f>SUM(I271:I276)</f>
        <v>230</v>
      </c>
      <c r="J277" s="54"/>
      <c r="K277" s="52"/>
    </row>
    <row r="278" spans="2:11" ht="15.5" thickTop="1" thickBot="1" x14ac:dyDescent="0.4">
      <c r="B278" s="66" t="s">
        <v>32</v>
      </c>
      <c r="C278" s="128">
        <f>D277/C277</f>
        <v>0.8833333333333333</v>
      </c>
      <c r="D278" s="129"/>
      <c r="E278" s="54"/>
      <c r="F278" s="52"/>
      <c r="G278" s="66" t="s">
        <v>32</v>
      </c>
      <c r="H278" s="128">
        <f>I277/H277</f>
        <v>0.63888888888888884</v>
      </c>
      <c r="I278" s="129"/>
      <c r="J278" s="54"/>
      <c r="K278" s="52"/>
    </row>
    <row r="279" spans="2:11" ht="15.5" thickTop="1" thickBot="1" x14ac:dyDescent="0.4">
      <c r="B279" s="63" t="s">
        <v>21</v>
      </c>
      <c r="C279" s="83">
        <f>Summary!S22</f>
        <v>20</v>
      </c>
      <c r="D279" s="81">
        <f>Summary!S7</f>
        <v>44</v>
      </c>
      <c r="E279" s="54"/>
      <c r="F279" s="52"/>
      <c r="G279" s="63" t="s">
        <v>21</v>
      </c>
      <c r="H279" s="83">
        <f>Summary!S23</f>
        <v>40</v>
      </c>
      <c r="I279" s="81">
        <f>Summary!S7</f>
        <v>44</v>
      </c>
      <c r="J279" s="54"/>
      <c r="K279" s="52"/>
    </row>
    <row r="280" spans="2:11" ht="30" thickTop="1" thickBot="1" x14ac:dyDescent="0.4">
      <c r="B280" s="67" t="s">
        <v>33</v>
      </c>
      <c r="C280" s="134"/>
      <c r="D280" s="135"/>
      <c r="E280" s="54"/>
      <c r="F280" s="52"/>
      <c r="G280" s="67" t="s">
        <v>33</v>
      </c>
      <c r="H280" s="134"/>
      <c r="I280" s="135"/>
      <c r="J280" s="54"/>
      <c r="K280" s="52"/>
    </row>
    <row r="281" spans="2:11" ht="30" thickTop="1" thickBot="1" x14ac:dyDescent="0.4">
      <c r="B281" s="67" t="s">
        <v>34</v>
      </c>
      <c r="C281" s="131"/>
      <c r="D281" s="132"/>
      <c r="E281" s="54"/>
      <c r="F281" s="52"/>
      <c r="G281" s="67" t="s">
        <v>34</v>
      </c>
      <c r="H281" s="131"/>
      <c r="I281" s="132"/>
      <c r="J281" s="54"/>
      <c r="K281" s="52"/>
    </row>
    <row r="282" spans="2:11" ht="15" thickTop="1" x14ac:dyDescent="0.35">
      <c r="B282" s="50"/>
      <c r="C282" s="51"/>
      <c r="D282" s="51"/>
      <c r="E282" s="51"/>
      <c r="F282" s="52"/>
      <c r="G282" s="50"/>
      <c r="H282" s="51"/>
      <c r="I282" s="51"/>
      <c r="J282" s="51"/>
      <c r="K282" s="52"/>
    </row>
    <row r="283" spans="2:11" x14ac:dyDescent="0.35">
      <c r="B283" s="130" t="s">
        <v>35</v>
      </c>
      <c r="C283" s="130"/>
      <c r="D283" s="52"/>
      <c r="E283" s="52"/>
      <c r="F283" s="52"/>
      <c r="G283" s="130" t="s">
        <v>35</v>
      </c>
      <c r="H283" s="130"/>
      <c r="I283" s="52"/>
      <c r="J283" s="52"/>
      <c r="K283" s="52"/>
    </row>
    <row r="284" spans="2:11" x14ac:dyDescent="0.35">
      <c r="B284" s="68" t="s">
        <v>36</v>
      </c>
      <c r="C284" s="69">
        <f>C248</f>
        <v>45975</v>
      </c>
      <c r="D284" s="52"/>
      <c r="E284" s="52"/>
      <c r="F284" s="52"/>
      <c r="G284" s="68" t="s">
        <v>36</v>
      </c>
      <c r="H284" s="69">
        <f>H248</f>
        <v>45975</v>
      </c>
      <c r="I284" s="52"/>
      <c r="J284" s="52"/>
      <c r="K284" s="52"/>
    </row>
    <row r="285" spans="2:11" x14ac:dyDescent="0.35">
      <c r="B285" s="50"/>
      <c r="C285" s="51"/>
      <c r="D285" s="51"/>
      <c r="E285" s="51"/>
      <c r="F285" s="52"/>
      <c r="G285" s="50"/>
      <c r="H285" s="51"/>
      <c r="I285" s="51"/>
      <c r="J285" s="51"/>
      <c r="K285" s="52"/>
    </row>
    <row r="286" spans="2:11" x14ac:dyDescent="0.35">
      <c r="B286" s="50"/>
      <c r="C286" s="130"/>
      <c r="D286" s="130"/>
      <c r="E286" s="130"/>
      <c r="F286" s="130"/>
      <c r="G286" s="50"/>
      <c r="H286" s="130"/>
      <c r="I286" s="130"/>
      <c r="J286" s="130"/>
      <c r="K286" s="130"/>
    </row>
    <row r="287" spans="2:11" x14ac:dyDescent="0.35">
      <c r="B287" s="52"/>
      <c r="C287" s="130"/>
      <c r="D287" s="130"/>
      <c r="E287" s="130"/>
      <c r="F287" s="51"/>
      <c r="G287" s="52"/>
      <c r="H287" s="130"/>
      <c r="I287" s="130"/>
      <c r="J287" s="130"/>
      <c r="K287" s="51"/>
    </row>
    <row r="288" spans="2:11" x14ac:dyDescent="0.35">
      <c r="B288" s="52"/>
      <c r="C288" s="52"/>
      <c r="D288" s="52"/>
      <c r="E288" s="52"/>
      <c r="F288" s="52"/>
      <c r="G288" s="52"/>
      <c r="H288" s="52"/>
      <c r="I288" s="52"/>
      <c r="J288" s="52"/>
      <c r="K288" s="52"/>
    </row>
    <row r="289" spans="2:11" x14ac:dyDescent="0.35">
      <c r="B289" s="50"/>
      <c r="C289" s="51"/>
      <c r="D289" s="51"/>
      <c r="E289" s="51"/>
      <c r="F289" s="52"/>
      <c r="G289" s="50"/>
      <c r="H289" s="51"/>
      <c r="I289" s="51"/>
      <c r="J289" s="51"/>
      <c r="K289" s="52"/>
    </row>
    <row r="290" spans="2:11" x14ac:dyDescent="0.35">
      <c r="B290" s="50"/>
      <c r="C290" s="51"/>
      <c r="D290" s="51"/>
      <c r="E290" s="51"/>
      <c r="F290" s="52"/>
      <c r="G290" s="50"/>
      <c r="H290" s="51"/>
      <c r="I290" s="51"/>
      <c r="J290" s="51"/>
      <c r="K290" s="52"/>
    </row>
    <row r="291" spans="2:11" x14ac:dyDescent="0.35">
      <c r="B291" s="50"/>
      <c r="C291" s="51"/>
      <c r="D291" s="51"/>
      <c r="E291" s="51"/>
      <c r="F291" s="52"/>
      <c r="G291" s="50"/>
      <c r="H291" s="51"/>
      <c r="I291" s="51"/>
      <c r="J291" s="51"/>
      <c r="K291" s="52"/>
    </row>
    <row r="292" spans="2:11" x14ac:dyDescent="0.35">
      <c r="B292" s="50"/>
      <c r="C292" s="51"/>
      <c r="D292" s="51"/>
      <c r="E292" s="51"/>
      <c r="F292" s="52"/>
      <c r="G292" s="50"/>
      <c r="H292" s="51"/>
      <c r="I292" s="51"/>
      <c r="J292" s="51"/>
      <c r="K292" s="52"/>
    </row>
    <row r="293" spans="2:11" x14ac:dyDescent="0.35">
      <c r="B293" s="50"/>
      <c r="C293" s="51"/>
      <c r="D293" s="51"/>
      <c r="E293" s="51"/>
      <c r="F293" s="52"/>
      <c r="G293" s="50"/>
      <c r="H293" s="51"/>
      <c r="I293" s="51"/>
      <c r="J293" s="51"/>
      <c r="K293" s="52"/>
    </row>
    <row r="294" spans="2:11" x14ac:dyDescent="0.35">
      <c r="B294" s="53" t="s">
        <v>22</v>
      </c>
      <c r="C294" s="53"/>
      <c r="D294" s="53" t="s">
        <v>29</v>
      </c>
      <c r="E294" s="53" t="str">
        <f>E258</f>
        <v>2025/2026</v>
      </c>
      <c r="F294" s="52"/>
      <c r="G294" s="53" t="s">
        <v>22</v>
      </c>
      <c r="H294" s="53"/>
      <c r="I294" s="53" t="s">
        <v>29</v>
      </c>
      <c r="J294" s="53" t="str">
        <f>E294</f>
        <v>2025/2026</v>
      </c>
      <c r="K294" s="52"/>
    </row>
    <row r="295" spans="2:11" x14ac:dyDescent="0.35">
      <c r="B295" s="53" t="s">
        <v>23</v>
      </c>
      <c r="C295" s="53"/>
      <c r="D295" s="53"/>
      <c r="E295" s="53"/>
      <c r="F295" s="52"/>
      <c r="G295" s="53" t="s">
        <v>23</v>
      </c>
      <c r="H295" s="53"/>
      <c r="I295" s="53"/>
      <c r="J295" s="53"/>
      <c r="K295" s="52"/>
    </row>
    <row r="296" spans="2:11" x14ac:dyDescent="0.35">
      <c r="B296" s="53" t="s">
        <v>24</v>
      </c>
      <c r="C296" s="53"/>
      <c r="D296" s="53" t="s">
        <v>41</v>
      </c>
      <c r="E296" s="53" t="str">
        <f>E260</f>
        <v>P1-A</v>
      </c>
      <c r="F296" s="52"/>
      <c r="G296" s="53" t="s">
        <v>24</v>
      </c>
      <c r="H296" s="53"/>
      <c r="I296" s="53" t="s">
        <v>41</v>
      </c>
      <c r="J296" s="53" t="str">
        <f>E296</f>
        <v>P1-A</v>
      </c>
      <c r="K296" s="52"/>
    </row>
    <row r="297" spans="2:11" x14ac:dyDescent="0.35">
      <c r="B297" s="53" t="s">
        <v>25</v>
      </c>
      <c r="C297" s="53"/>
      <c r="D297" s="53"/>
      <c r="E297" s="52"/>
      <c r="F297" s="52"/>
      <c r="G297" s="53" t="s">
        <v>25</v>
      </c>
      <c r="H297" s="53"/>
      <c r="I297" s="53"/>
      <c r="J297" s="52"/>
      <c r="K297" s="52"/>
    </row>
    <row r="298" spans="2:11" x14ac:dyDescent="0.35">
      <c r="B298" s="53" t="s">
        <v>26</v>
      </c>
      <c r="C298" s="53"/>
      <c r="D298" s="53"/>
      <c r="E298" s="53"/>
      <c r="F298" s="52"/>
      <c r="G298" s="53" t="s">
        <v>26</v>
      </c>
      <c r="H298" s="53"/>
      <c r="I298" s="53"/>
      <c r="J298" s="53"/>
      <c r="K298" s="52"/>
    </row>
    <row r="299" spans="2:11" x14ac:dyDescent="0.35">
      <c r="B299" s="53" t="s">
        <v>9</v>
      </c>
      <c r="C299" s="53"/>
      <c r="D299" s="53" t="s">
        <v>12</v>
      </c>
      <c r="E299" s="53" t="str">
        <f>E263</f>
        <v xml:space="preserve"> INFERIEUR</v>
      </c>
      <c r="F299" s="52"/>
      <c r="G299" s="53" t="s">
        <v>9</v>
      </c>
      <c r="H299" s="53"/>
      <c r="I299" s="53" t="s">
        <v>12</v>
      </c>
      <c r="J299" s="53" t="str">
        <f>E299</f>
        <v xml:space="preserve"> INFERIEUR</v>
      </c>
      <c r="K299" s="52"/>
    </row>
    <row r="300" spans="2:11" x14ac:dyDescent="0.35">
      <c r="B300" s="53" t="s">
        <v>10</v>
      </c>
      <c r="C300" s="53"/>
      <c r="D300" s="53"/>
      <c r="E300" s="53"/>
      <c r="F300" s="52"/>
      <c r="G300" s="53" t="s">
        <v>10</v>
      </c>
      <c r="H300" s="53"/>
      <c r="I300" s="53"/>
      <c r="J300" s="53"/>
      <c r="K300" s="52"/>
    </row>
    <row r="301" spans="2:11" x14ac:dyDescent="0.35">
      <c r="B301" s="53" t="s">
        <v>27</v>
      </c>
      <c r="C301" s="53"/>
      <c r="D301" s="53"/>
      <c r="E301" s="53"/>
      <c r="F301" s="52"/>
      <c r="G301" s="53" t="s">
        <v>27</v>
      </c>
      <c r="H301" s="53"/>
      <c r="I301" s="53"/>
      <c r="J301" s="53"/>
      <c r="K301" s="52"/>
    </row>
    <row r="302" spans="2:11" ht="15" thickBot="1" x14ac:dyDescent="0.4">
      <c r="B302" s="53"/>
      <c r="C302" s="54"/>
      <c r="D302" s="54"/>
      <c r="E302" s="54"/>
      <c r="F302" s="52"/>
      <c r="G302" s="53"/>
      <c r="H302" s="54"/>
      <c r="I302" s="54"/>
      <c r="J302" s="54"/>
      <c r="K302" s="52"/>
    </row>
    <row r="303" spans="2:11" ht="15.5" thickTop="1" thickBot="1" x14ac:dyDescent="0.4">
      <c r="B303" s="53"/>
      <c r="C303" s="23" t="s">
        <v>42</v>
      </c>
      <c r="D303" s="23"/>
      <c r="E303" s="53"/>
      <c r="F303" s="52"/>
      <c r="G303" s="53"/>
      <c r="H303" s="23" t="s">
        <v>42</v>
      </c>
      <c r="I303" s="23"/>
      <c r="J303" s="53"/>
      <c r="K303" s="52"/>
    </row>
    <row r="304" spans="2:11" ht="15.5" thickTop="1" thickBot="1" x14ac:dyDescent="0.4">
      <c r="B304" s="53" t="s">
        <v>40</v>
      </c>
      <c r="C304" s="136" t="str">
        <f>Summary!C24</f>
        <v>KABANZA IRIHO   Arda</v>
      </c>
      <c r="D304" s="136"/>
      <c r="E304" s="55"/>
      <c r="F304" s="52"/>
      <c r="G304" s="53" t="s">
        <v>40</v>
      </c>
      <c r="H304" s="136" t="str">
        <f>Summary!C25</f>
        <v>KAGABA   Kevrin</v>
      </c>
      <c r="I304" s="136"/>
      <c r="J304" s="55"/>
      <c r="K304" s="52"/>
    </row>
    <row r="305" spans="2:11" ht="15" thickTop="1" x14ac:dyDescent="0.35">
      <c r="B305" s="124" t="s">
        <v>43</v>
      </c>
      <c r="C305" s="126" t="s">
        <v>37</v>
      </c>
      <c r="D305" s="127"/>
      <c r="E305" s="56"/>
      <c r="F305" s="52"/>
      <c r="G305" s="124" t="s">
        <v>43</v>
      </c>
      <c r="H305" s="126" t="s">
        <v>37</v>
      </c>
      <c r="I305" s="127"/>
      <c r="J305" s="56"/>
      <c r="K305" s="52"/>
    </row>
    <row r="306" spans="2:11" ht="15" thickBot="1" x14ac:dyDescent="0.4">
      <c r="B306" s="125"/>
      <c r="C306" s="57" t="s">
        <v>39</v>
      </c>
      <c r="D306" s="58" t="s">
        <v>38</v>
      </c>
      <c r="E306" s="54"/>
      <c r="F306" s="52"/>
      <c r="G306" s="125"/>
      <c r="H306" s="57" t="s">
        <v>39</v>
      </c>
      <c r="I306" s="58" t="s">
        <v>38</v>
      </c>
      <c r="J306" s="54"/>
      <c r="K306" s="52"/>
    </row>
    <row r="307" spans="2:11" ht="15" thickTop="1" x14ac:dyDescent="0.35">
      <c r="B307" s="59" t="s">
        <v>15</v>
      </c>
      <c r="C307" s="60">
        <f t="shared" ref="C307:C312" si="15">C271</f>
        <v>60</v>
      </c>
      <c r="D307" s="61">
        <f>Summary!E24</f>
        <v>47</v>
      </c>
      <c r="E307" s="54"/>
      <c r="F307" s="52"/>
      <c r="G307" s="59" t="s">
        <v>15</v>
      </c>
      <c r="H307" s="60">
        <f t="shared" ref="H307:H312" si="16">C307</f>
        <v>60</v>
      </c>
      <c r="I307" s="61">
        <f>Summary!E25</f>
        <v>44</v>
      </c>
      <c r="J307" s="54"/>
      <c r="K307" s="52"/>
    </row>
    <row r="308" spans="2:11" x14ac:dyDescent="0.35">
      <c r="B308" s="59" t="s">
        <v>30</v>
      </c>
      <c r="C308" s="60">
        <f t="shared" si="15"/>
        <v>30</v>
      </c>
      <c r="D308" s="61">
        <f>Summary!G24</f>
        <v>25</v>
      </c>
      <c r="E308" s="54"/>
      <c r="F308" s="52"/>
      <c r="G308" s="59" t="s">
        <v>30</v>
      </c>
      <c r="H308" s="60">
        <f t="shared" si="16"/>
        <v>30</v>
      </c>
      <c r="I308" s="61">
        <f>Summary!G25</f>
        <v>19</v>
      </c>
      <c r="J308" s="54"/>
      <c r="K308" s="52"/>
    </row>
    <row r="309" spans="2:11" x14ac:dyDescent="0.35">
      <c r="B309" s="59" t="s">
        <v>4</v>
      </c>
      <c r="C309" s="60">
        <f t="shared" si="15"/>
        <v>80</v>
      </c>
      <c r="D309" s="61">
        <f>Summary!I24</f>
        <v>74</v>
      </c>
      <c r="E309" s="54"/>
      <c r="F309" s="52"/>
      <c r="G309" s="59" t="s">
        <v>4</v>
      </c>
      <c r="H309" s="60">
        <f t="shared" si="16"/>
        <v>80</v>
      </c>
      <c r="I309" s="61">
        <f>Summary!I25</f>
        <v>52</v>
      </c>
      <c r="J309" s="54"/>
      <c r="K309" s="52"/>
    </row>
    <row r="310" spans="2:11" x14ac:dyDescent="0.35">
      <c r="B310" s="62" t="s">
        <v>5</v>
      </c>
      <c r="C310" s="60">
        <f t="shared" si="15"/>
        <v>80</v>
      </c>
      <c r="D310" s="61">
        <f>Summary!K24</f>
        <v>74</v>
      </c>
      <c r="E310" s="54"/>
      <c r="F310" s="52"/>
      <c r="G310" s="62" t="s">
        <v>5</v>
      </c>
      <c r="H310" s="60">
        <f t="shared" si="16"/>
        <v>80</v>
      </c>
      <c r="I310" s="61">
        <f>Summary!K25</f>
        <v>70</v>
      </c>
      <c r="J310" s="54"/>
      <c r="K310" s="52"/>
    </row>
    <row r="311" spans="2:11" x14ac:dyDescent="0.35">
      <c r="B311" s="62" t="s">
        <v>17</v>
      </c>
      <c r="C311" s="60">
        <f t="shared" si="15"/>
        <v>30</v>
      </c>
      <c r="D311" s="61">
        <f>Summary!M24</f>
        <v>24</v>
      </c>
      <c r="E311" s="54"/>
      <c r="F311" s="52"/>
      <c r="G311" s="62" t="s">
        <v>17</v>
      </c>
      <c r="H311" s="60">
        <f t="shared" si="16"/>
        <v>30</v>
      </c>
      <c r="I311" s="61">
        <f>Summary!M25</f>
        <v>28</v>
      </c>
      <c r="J311" s="54"/>
      <c r="K311" s="52"/>
    </row>
    <row r="312" spans="2:11" ht="15" thickBot="1" x14ac:dyDescent="0.4">
      <c r="B312" s="62" t="s">
        <v>46</v>
      </c>
      <c r="C312" s="60">
        <f t="shared" si="15"/>
        <v>80</v>
      </c>
      <c r="D312" s="61">
        <f>Summary!O24</f>
        <v>60</v>
      </c>
      <c r="E312" s="54"/>
      <c r="F312" s="52"/>
      <c r="G312" s="62" t="s">
        <v>46</v>
      </c>
      <c r="H312" s="60">
        <f t="shared" si="16"/>
        <v>80</v>
      </c>
      <c r="I312" s="61">
        <f>Summary!O25</f>
        <v>44</v>
      </c>
      <c r="J312" s="54"/>
      <c r="K312" s="52"/>
    </row>
    <row r="313" spans="2:11" ht="15.5" thickTop="1" thickBot="1" x14ac:dyDescent="0.4">
      <c r="B313" s="63" t="s">
        <v>11</v>
      </c>
      <c r="C313" s="64">
        <f>SUM(C307:C312)</f>
        <v>360</v>
      </c>
      <c r="D313" s="65">
        <f>SUM(D307:D312)</f>
        <v>304</v>
      </c>
      <c r="E313" s="54"/>
      <c r="F313" s="52"/>
      <c r="G313" s="63" t="s">
        <v>11</v>
      </c>
      <c r="H313" s="64">
        <f>SUM(H307:H312)</f>
        <v>360</v>
      </c>
      <c r="I313" s="65">
        <f>SUM(I307:I312)</f>
        <v>257</v>
      </c>
      <c r="J313" s="54"/>
      <c r="K313" s="52"/>
    </row>
    <row r="314" spans="2:11" ht="15.5" thickTop="1" thickBot="1" x14ac:dyDescent="0.4">
      <c r="B314" s="66" t="s">
        <v>32</v>
      </c>
      <c r="C314" s="128">
        <f>D313/C313</f>
        <v>0.84444444444444444</v>
      </c>
      <c r="D314" s="129"/>
      <c r="E314" s="54"/>
      <c r="F314" s="52"/>
      <c r="G314" s="66" t="s">
        <v>32</v>
      </c>
      <c r="H314" s="128">
        <f>I313/H313</f>
        <v>0.71388888888888891</v>
      </c>
      <c r="I314" s="129"/>
      <c r="J314" s="54"/>
      <c r="K314" s="52"/>
    </row>
    <row r="315" spans="2:11" ht="15.5" thickTop="1" thickBot="1" x14ac:dyDescent="0.4">
      <c r="B315" s="63" t="s">
        <v>21</v>
      </c>
      <c r="C315" s="83">
        <f>Summary!S24</f>
        <v>27</v>
      </c>
      <c r="D315" s="81">
        <f>Summary!S7</f>
        <v>44</v>
      </c>
      <c r="E315" s="54"/>
      <c r="F315" s="52"/>
      <c r="G315" s="63" t="s">
        <v>21</v>
      </c>
      <c r="H315" s="83">
        <f>Summary!S25</f>
        <v>37</v>
      </c>
      <c r="I315" s="81">
        <f>Summary!S7</f>
        <v>44</v>
      </c>
      <c r="J315" s="54"/>
      <c r="K315" s="52"/>
    </row>
    <row r="316" spans="2:11" ht="30" thickTop="1" thickBot="1" x14ac:dyDescent="0.4">
      <c r="B316" s="67" t="s">
        <v>33</v>
      </c>
      <c r="C316" s="134"/>
      <c r="D316" s="135"/>
      <c r="E316" s="54"/>
      <c r="F316" s="52"/>
      <c r="G316" s="67" t="s">
        <v>33</v>
      </c>
      <c r="H316" s="134"/>
      <c r="I316" s="135"/>
      <c r="J316" s="54"/>
      <c r="K316" s="52"/>
    </row>
    <row r="317" spans="2:11" ht="30" thickTop="1" thickBot="1" x14ac:dyDescent="0.4">
      <c r="B317" s="67" t="s">
        <v>34</v>
      </c>
      <c r="C317" s="131"/>
      <c r="D317" s="132"/>
      <c r="E317" s="54"/>
      <c r="F317" s="52"/>
      <c r="G317" s="67" t="s">
        <v>34</v>
      </c>
      <c r="H317" s="131"/>
      <c r="I317" s="132"/>
      <c r="J317" s="54"/>
      <c r="K317" s="52"/>
    </row>
    <row r="318" spans="2:11" ht="15" thickTop="1" x14ac:dyDescent="0.35">
      <c r="B318" s="50"/>
      <c r="C318" s="51"/>
      <c r="D318" s="51"/>
      <c r="E318" s="51"/>
      <c r="F318" s="52"/>
      <c r="G318" s="50"/>
      <c r="H318" s="51"/>
      <c r="I318" s="51"/>
      <c r="J318" s="51"/>
      <c r="K318" s="52"/>
    </row>
    <row r="319" spans="2:11" x14ac:dyDescent="0.35">
      <c r="B319" s="130" t="s">
        <v>35</v>
      </c>
      <c r="C319" s="130"/>
      <c r="D319" s="52"/>
      <c r="E319" s="52"/>
      <c r="F319" s="52"/>
      <c r="G319" s="130" t="s">
        <v>35</v>
      </c>
      <c r="H319" s="130"/>
      <c r="I319" s="52"/>
      <c r="J319" s="52"/>
      <c r="K319" s="52"/>
    </row>
    <row r="320" spans="2:11" x14ac:dyDescent="0.35">
      <c r="B320" s="68" t="s">
        <v>36</v>
      </c>
      <c r="C320" s="69">
        <f>C284</f>
        <v>45975</v>
      </c>
      <c r="D320" s="52"/>
      <c r="E320" s="52"/>
      <c r="F320" s="52"/>
      <c r="G320" s="68" t="s">
        <v>36</v>
      </c>
      <c r="H320" s="69">
        <f>H284</f>
        <v>45975</v>
      </c>
      <c r="I320" s="52"/>
      <c r="J320" s="52"/>
      <c r="K320" s="52"/>
    </row>
    <row r="321" spans="2:11" x14ac:dyDescent="0.35">
      <c r="B321" s="50"/>
      <c r="C321" s="51"/>
      <c r="D321" s="51"/>
      <c r="E321" s="51"/>
      <c r="F321" s="52"/>
      <c r="G321" s="50"/>
      <c r="H321" s="51"/>
      <c r="I321" s="51"/>
      <c r="J321" s="51"/>
      <c r="K321" s="52"/>
    </row>
    <row r="322" spans="2:11" x14ac:dyDescent="0.35">
      <c r="B322" s="50"/>
      <c r="C322" s="130"/>
      <c r="D322" s="130"/>
      <c r="E322" s="130"/>
      <c r="F322" s="130"/>
      <c r="G322" s="50"/>
      <c r="H322" s="130"/>
      <c r="I322" s="130"/>
      <c r="J322" s="130"/>
      <c r="K322" s="130"/>
    </row>
    <row r="323" spans="2:11" x14ac:dyDescent="0.35">
      <c r="B323" s="52"/>
      <c r="C323" s="130"/>
      <c r="D323" s="130"/>
      <c r="E323" s="130"/>
      <c r="F323" s="51"/>
      <c r="G323" s="52"/>
      <c r="H323" s="130"/>
      <c r="I323" s="130"/>
      <c r="J323" s="130"/>
      <c r="K323" s="51"/>
    </row>
    <row r="324" spans="2:11" x14ac:dyDescent="0.35">
      <c r="B324" s="52"/>
      <c r="C324" s="52"/>
      <c r="D324" s="52"/>
      <c r="E324" s="52"/>
      <c r="F324" s="52"/>
      <c r="G324" s="52"/>
      <c r="H324" s="52"/>
      <c r="I324" s="52"/>
      <c r="J324" s="52"/>
      <c r="K324" s="52"/>
    </row>
    <row r="325" spans="2:11" x14ac:dyDescent="0.35">
      <c r="B325" s="50"/>
      <c r="C325" s="51"/>
      <c r="D325" s="51"/>
      <c r="E325" s="51"/>
      <c r="F325" s="52"/>
      <c r="G325" s="50"/>
      <c r="H325" s="51"/>
      <c r="I325" s="51"/>
      <c r="J325" s="51"/>
      <c r="K325" s="52"/>
    </row>
    <row r="326" spans="2:11" x14ac:dyDescent="0.35">
      <c r="B326" s="50"/>
      <c r="C326" s="51"/>
      <c r="D326" s="51"/>
      <c r="E326" s="51"/>
      <c r="F326" s="52"/>
      <c r="G326" s="50"/>
      <c r="H326" s="51"/>
      <c r="I326" s="51"/>
      <c r="J326" s="51"/>
      <c r="K326" s="52"/>
    </row>
    <row r="327" spans="2:11" x14ac:dyDescent="0.35">
      <c r="B327" s="50"/>
      <c r="C327" s="51"/>
      <c r="D327" s="51"/>
      <c r="E327" s="51"/>
      <c r="F327" s="52"/>
      <c r="G327" s="50"/>
      <c r="H327" s="51"/>
      <c r="I327" s="51"/>
      <c r="J327" s="51"/>
      <c r="K327" s="52"/>
    </row>
    <row r="328" spans="2:11" x14ac:dyDescent="0.35">
      <c r="B328" s="50"/>
      <c r="C328" s="51"/>
      <c r="D328" s="51"/>
      <c r="E328" s="51"/>
      <c r="F328" s="52"/>
      <c r="G328" s="50"/>
      <c r="H328" s="51"/>
      <c r="I328" s="51"/>
      <c r="J328" s="51"/>
      <c r="K328" s="52"/>
    </row>
    <row r="329" spans="2:11" x14ac:dyDescent="0.35">
      <c r="B329" s="50"/>
      <c r="C329" s="51"/>
      <c r="D329" s="51"/>
      <c r="E329" s="51"/>
      <c r="F329" s="52"/>
      <c r="G329" s="50"/>
      <c r="H329" s="51"/>
      <c r="I329" s="51"/>
      <c r="J329" s="51"/>
      <c r="K329" s="52"/>
    </row>
    <row r="330" spans="2:11" x14ac:dyDescent="0.35">
      <c r="B330" s="53" t="s">
        <v>22</v>
      </c>
      <c r="C330" s="53"/>
      <c r="D330" s="53" t="s">
        <v>29</v>
      </c>
      <c r="E330" s="53" t="str">
        <f>E294</f>
        <v>2025/2026</v>
      </c>
      <c r="F330" s="52"/>
      <c r="G330" s="53" t="s">
        <v>22</v>
      </c>
      <c r="H330" s="53"/>
      <c r="I330" s="53" t="s">
        <v>29</v>
      </c>
      <c r="J330" s="53" t="str">
        <f>E330</f>
        <v>2025/2026</v>
      </c>
      <c r="K330" s="52"/>
    </row>
    <row r="331" spans="2:11" x14ac:dyDescent="0.35">
      <c r="B331" s="53" t="s">
        <v>23</v>
      </c>
      <c r="C331" s="53"/>
      <c r="D331" s="53"/>
      <c r="E331" s="53"/>
      <c r="F331" s="52"/>
      <c r="G331" s="53" t="s">
        <v>23</v>
      </c>
      <c r="H331" s="53"/>
      <c r="I331" s="53"/>
      <c r="J331" s="53"/>
      <c r="K331" s="52"/>
    </row>
    <row r="332" spans="2:11" x14ac:dyDescent="0.35">
      <c r="B332" s="53" t="s">
        <v>24</v>
      </c>
      <c r="C332" s="53"/>
      <c r="D332" s="53" t="s">
        <v>41</v>
      </c>
      <c r="E332" s="53" t="str">
        <f>E296</f>
        <v>P1-A</v>
      </c>
      <c r="F332" s="52"/>
      <c r="G332" s="53" t="s">
        <v>24</v>
      </c>
      <c r="H332" s="53"/>
      <c r="I332" s="53" t="s">
        <v>41</v>
      </c>
      <c r="J332" s="53" t="str">
        <f>E332</f>
        <v>P1-A</v>
      </c>
      <c r="K332" s="52"/>
    </row>
    <row r="333" spans="2:11" x14ac:dyDescent="0.35">
      <c r="B333" s="53" t="s">
        <v>25</v>
      </c>
      <c r="C333" s="53"/>
      <c r="D333" s="53"/>
      <c r="E333" s="52"/>
      <c r="F333" s="52"/>
      <c r="G333" s="53" t="s">
        <v>25</v>
      </c>
      <c r="H333" s="53"/>
      <c r="I333" s="53"/>
      <c r="J333" s="52"/>
      <c r="K333" s="52"/>
    </row>
    <row r="334" spans="2:11" x14ac:dyDescent="0.35">
      <c r="B334" s="53" t="s">
        <v>26</v>
      </c>
      <c r="C334" s="53"/>
      <c r="D334" s="53"/>
      <c r="E334" s="53"/>
      <c r="F334" s="52"/>
      <c r="G334" s="53" t="s">
        <v>26</v>
      </c>
      <c r="H334" s="53"/>
      <c r="I334" s="53"/>
      <c r="J334" s="53"/>
      <c r="K334" s="52"/>
    </row>
    <row r="335" spans="2:11" x14ac:dyDescent="0.35">
      <c r="B335" s="53" t="s">
        <v>9</v>
      </c>
      <c r="C335" s="53"/>
      <c r="D335" s="53" t="s">
        <v>12</v>
      </c>
      <c r="E335" s="53" t="str">
        <f>E299</f>
        <v xml:space="preserve"> INFERIEUR</v>
      </c>
      <c r="F335" s="52"/>
      <c r="G335" s="53" t="s">
        <v>9</v>
      </c>
      <c r="H335" s="53"/>
      <c r="I335" s="53" t="s">
        <v>12</v>
      </c>
      <c r="J335" s="53" t="str">
        <f>E335</f>
        <v xml:space="preserve"> INFERIEUR</v>
      </c>
      <c r="K335" s="52"/>
    </row>
    <row r="336" spans="2:11" x14ac:dyDescent="0.35">
      <c r="B336" s="53" t="s">
        <v>10</v>
      </c>
      <c r="C336" s="53"/>
      <c r="D336" s="53"/>
      <c r="E336" s="53"/>
      <c r="F336" s="52"/>
      <c r="G336" s="53" t="s">
        <v>10</v>
      </c>
      <c r="H336" s="53"/>
      <c r="I336" s="53"/>
      <c r="J336" s="53"/>
      <c r="K336" s="52"/>
    </row>
    <row r="337" spans="2:11" x14ac:dyDescent="0.35">
      <c r="B337" s="53" t="s">
        <v>27</v>
      </c>
      <c r="C337" s="53"/>
      <c r="D337" s="53"/>
      <c r="E337" s="53"/>
      <c r="F337" s="52"/>
      <c r="G337" s="53" t="s">
        <v>27</v>
      </c>
      <c r="H337" s="53"/>
      <c r="I337" s="53"/>
      <c r="J337" s="53"/>
      <c r="K337" s="52"/>
    </row>
    <row r="338" spans="2:11" ht="15" thickBot="1" x14ac:dyDescent="0.4">
      <c r="B338" s="53"/>
      <c r="C338" s="54"/>
      <c r="D338" s="54"/>
      <c r="E338" s="54"/>
      <c r="F338" s="52"/>
      <c r="G338" s="53"/>
      <c r="H338" s="54"/>
      <c r="I338" s="54"/>
      <c r="J338" s="54"/>
      <c r="K338" s="52"/>
    </row>
    <row r="339" spans="2:11" ht="15.5" thickTop="1" thickBot="1" x14ac:dyDescent="0.4">
      <c r="B339" s="53"/>
      <c r="C339" s="23" t="s">
        <v>42</v>
      </c>
      <c r="D339" s="23"/>
      <c r="E339" s="53"/>
      <c r="F339" s="52"/>
      <c r="G339" s="53"/>
      <c r="H339" s="23" t="s">
        <v>42</v>
      </c>
      <c r="I339" s="23"/>
      <c r="J339" s="53"/>
      <c r="K339" s="52"/>
    </row>
    <row r="340" spans="2:11" ht="15.5" thickTop="1" thickBot="1" x14ac:dyDescent="0.4">
      <c r="B340" s="53" t="s">
        <v>40</v>
      </c>
      <c r="C340" s="123" t="str">
        <f>Summary!C26</f>
        <v>KALISA IRIHO Jeyden</v>
      </c>
      <c r="D340" s="123"/>
      <c r="E340" s="55"/>
      <c r="F340" s="52"/>
      <c r="G340" s="53" t="s">
        <v>40</v>
      </c>
      <c r="H340" s="86" t="str">
        <f>Summary!C27</f>
        <v>KEZAKASE  Meghan</v>
      </c>
      <c r="I340" s="86"/>
      <c r="J340" s="55"/>
      <c r="K340" s="52"/>
    </row>
    <row r="341" spans="2:11" ht="15" thickTop="1" x14ac:dyDescent="0.35">
      <c r="B341" s="124" t="s">
        <v>43</v>
      </c>
      <c r="C341" s="126" t="s">
        <v>37</v>
      </c>
      <c r="D341" s="127"/>
      <c r="E341" s="56"/>
      <c r="F341" s="52"/>
      <c r="G341" s="124" t="s">
        <v>43</v>
      </c>
      <c r="H341" s="126" t="s">
        <v>37</v>
      </c>
      <c r="I341" s="127"/>
      <c r="J341" s="56"/>
      <c r="K341" s="52"/>
    </row>
    <row r="342" spans="2:11" ht="15" thickBot="1" x14ac:dyDescent="0.4">
      <c r="B342" s="125"/>
      <c r="C342" s="57" t="s">
        <v>39</v>
      </c>
      <c r="D342" s="58" t="s">
        <v>38</v>
      </c>
      <c r="E342" s="54"/>
      <c r="F342" s="52"/>
      <c r="G342" s="125"/>
      <c r="H342" s="57" t="s">
        <v>39</v>
      </c>
      <c r="I342" s="58" t="s">
        <v>38</v>
      </c>
      <c r="J342" s="54"/>
      <c r="K342" s="52"/>
    </row>
    <row r="343" spans="2:11" ht="15" thickTop="1" x14ac:dyDescent="0.35">
      <c r="B343" s="59" t="s">
        <v>15</v>
      </c>
      <c r="C343" s="60">
        <f t="shared" ref="C343:C348" si="17">C307</f>
        <v>60</v>
      </c>
      <c r="D343" s="61">
        <f>Summary!E26</f>
        <v>58</v>
      </c>
      <c r="E343" s="54"/>
      <c r="F343" s="52"/>
      <c r="G343" s="59" t="s">
        <v>15</v>
      </c>
      <c r="H343" s="60">
        <f t="shared" ref="H343:H348" si="18">C343</f>
        <v>60</v>
      </c>
      <c r="I343" s="61">
        <f>Summary!E27</f>
        <v>60</v>
      </c>
      <c r="J343" s="54"/>
      <c r="K343" s="52"/>
    </row>
    <row r="344" spans="2:11" x14ac:dyDescent="0.35">
      <c r="B344" s="59" t="s">
        <v>30</v>
      </c>
      <c r="C344" s="60">
        <f t="shared" si="17"/>
        <v>30</v>
      </c>
      <c r="D344" s="61">
        <f>Summary!G26</f>
        <v>28</v>
      </c>
      <c r="E344" s="54"/>
      <c r="F344" s="52"/>
      <c r="G344" s="59" t="s">
        <v>30</v>
      </c>
      <c r="H344" s="60">
        <f t="shared" si="18"/>
        <v>30</v>
      </c>
      <c r="I344" s="61">
        <f>Summary!G27</f>
        <v>30</v>
      </c>
      <c r="J344" s="54"/>
      <c r="K344" s="52"/>
    </row>
    <row r="345" spans="2:11" x14ac:dyDescent="0.35">
      <c r="B345" s="59" t="s">
        <v>4</v>
      </c>
      <c r="C345" s="60">
        <f t="shared" si="17"/>
        <v>80</v>
      </c>
      <c r="D345" s="61">
        <f>Summary!I26</f>
        <v>80</v>
      </c>
      <c r="E345" s="54"/>
      <c r="F345" s="52"/>
      <c r="G345" s="59" t="s">
        <v>4</v>
      </c>
      <c r="H345" s="60">
        <f t="shared" si="18"/>
        <v>80</v>
      </c>
      <c r="I345" s="61">
        <f>Summary!I27</f>
        <v>80</v>
      </c>
      <c r="J345" s="54"/>
      <c r="K345" s="52"/>
    </row>
    <row r="346" spans="2:11" x14ac:dyDescent="0.35">
      <c r="B346" s="62" t="s">
        <v>5</v>
      </c>
      <c r="C346" s="60">
        <f t="shared" si="17"/>
        <v>80</v>
      </c>
      <c r="D346" s="61">
        <f>Summary!K26</f>
        <v>76</v>
      </c>
      <c r="E346" s="54"/>
      <c r="F346" s="52"/>
      <c r="G346" s="62" t="s">
        <v>5</v>
      </c>
      <c r="H346" s="60">
        <f t="shared" si="18"/>
        <v>80</v>
      </c>
      <c r="I346" s="61">
        <f>Summary!K27</f>
        <v>72</v>
      </c>
      <c r="J346" s="54"/>
      <c r="K346" s="52"/>
    </row>
    <row r="347" spans="2:11" x14ac:dyDescent="0.35">
      <c r="B347" s="62" t="s">
        <v>17</v>
      </c>
      <c r="C347" s="60">
        <f t="shared" si="17"/>
        <v>30</v>
      </c>
      <c r="D347" s="61">
        <f>Summary!M26</f>
        <v>25</v>
      </c>
      <c r="E347" s="54"/>
      <c r="F347" s="52"/>
      <c r="G347" s="62" t="s">
        <v>17</v>
      </c>
      <c r="H347" s="60">
        <f t="shared" si="18"/>
        <v>30</v>
      </c>
      <c r="I347" s="61">
        <f>Summary!M27</f>
        <v>27</v>
      </c>
      <c r="J347" s="54"/>
      <c r="K347" s="52"/>
    </row>
    <row r="348" spans="2:11" ht="15" thickBot="1" x14ac:dyDescent="0.4">
      <c r="B348" s="62" t="s">
        <v>46</v>
      </c>
      <c r="C348" s="60">
        <f t="shared" si="17"/>
        <v>80</v>
      </c>
      <c r="D348" s="61">
        <f>Summary!O26</f>
        <v>58</v>
      </c>
      <c r="E348" s="54"/>
      <c r="F348" s="52"/>
      <c r="G348" s="62" t="s">
        <v>46</v>
      </c>
      <c r="H348" s="60">
        <f t="shared" si="18"/>
        <v>80</v>
      </c>
      <c r="I348" s="61">
        <f>Summary!O27</f>
        <v>76</v>
      </c>
      <c r="J348" s="54"/>
      <c r="K348" s="52"/>
    </row>
    <row r="349" spans="2:11" ht="15.5" thickTop="1" thickBot="1" x14ac:dyDescent="0.4">
      <c r="B349" s="63" t="s">
        <v>11</v>
      </c>
      <c r="C349" s="64">
        <f>SUM(C343:C348)</f>
        <v>360</v>
      </c>
      <c r="D349" s="65">
        <f>SUM(D343:D348)</f>
        <v>325</v>
      </c>
      <c r="E349" s="54"/>
      <c r="F349" s="52"/>
      <c r="G349" s="63" t="s">
        <v>11</v>
      </c>
      <c r="H349" s="64">
        <f>SUM(H343:H348)</f>
        <v>360</v>
      </c>
      <c r="I349" s="65">
        <f>SUM(I343:I348)</f>
        <v>345</v>
      </c>
      <c r="J349" s="54"/>
      <c r="K349" s="52"/>
    </row>
    <row r="350" spans="2:11" ht="15.5" thickTop="1" thickBot="1" x14ac:dyDescent="0.4">
      <c r="B350" s="66" t="s">
        <v>32</v>
      </c>
      <c r="C350" s="128">
        <f>D349/C349</f>
        <v>0.90277777777777779</v>
      </c>
      <c r="D350" s="129"/>
      <c r="E350" s="54"/>
      <c r="F350" s="52"/>
      <c r="G350" s="66" t="s">
        <v>32</v>
      </c>
      <c r="H350" s="128">
        <f>I349/H349</f>
        <v>0.95833333333333337</v>
      </c>
      <c r="I350" s="129"/>
      <c r="J350" s="54"/>
      <c r="K350" s="52"/>
    </row>
    <row r="351" spans="2:11" ht="15.5" thickTop="1" thickBot="1" x14ac:dyDescent="0.4">
      <c r="B351" s="63" t="s">
        <v>21</v>
      </c>
      <c r="C351" s="83">
        <f>Summary!S26</f>
        <v>17</v>
      </c>
      <c r="D351" s="81">
        <f>Summary!S7</f>
        <v>44</v>
      </c>
      <c r="E351" s="54"/>
      <c r="F351" s="52"/>
      <c r="G351" s="63" t="s">
        <v>21</v>
      </c>
      <c r="H351" s="83">
        <f>Summary!S27</f>
        <v>8</v>
      </c>
      <c r="I351" s="81">
        <f>Summary!S7</f>
        <v>44</v>
      </c>
      <c r="J351" s="54"/>
      <c r="K351" s="52"/>
    </row>
    <row r="352" spans="2:11" ht="30" thickTop="1" thickBot="1" x14ac:dyDescent="0.4">
      <c r="B352" s="67" t="s">
        <v>33</v>
      </c>
      <c r="C352" s="134"/>
      <c r="D352" s="135"/>
      <c r="E352" s="54"/>
      <c r="F352" s="52"/>
      <c r="G352" s="67" t="s">
        <v>33</v>
      </c>
      <c r="H352" s="134"/>
      <c r="I352" s="135"/>
      <c r="J352" s="54"/>
      <c r="K352" s="52"/>
    </row>
    <row r="353" spans="2:11" ht="30" thickTop="1" thickBot="1" x14ac:dyDescent="0.4">
      <c r="B353" s="67" t="s">
        <v>34</v>
      </c>
      <c r="C353" s="131"/>
      <c r="D353" s="132"/>
      <c r="E353" s="54"/>
      <c r="F353" s="52"/>
      <c r="G353" s="67" t="s">
        <v>34</v>
      </c>
      <c r="H353" s="131"/>
      <c r="I353" s="132"/>
      <c r="J353" s="54"/>
      <c r="K353" s="52"/>
    </row>
    <row r="354" spans="2:11" ht="15" thickTop="1" x14ac:dyDescent="0.35">
      <c r="B354" s="50"/>
      <c r="C354" s="51"/>
      <c r="D354" s="51"/>
      <c r="E354" s="51"/>
      <c r="F354" s="52"/>
      <c r="G354" s="50"/>
      <c r="H354" s="51"/>
      <c r="I354" s="51"/>
      <c r="J354" s="51"/>
      <c r="K354" s="52"/>
    </row>
    <row r="355" spans="2:11" x14ac:dyDescent="0.35">
      <c r="B355" s="130" t="s">
        <v>35</v>
      </c>
      <c r="C355" s="130"/>
      <c r="D355" s="52"/>
      <c r="E355" s="52"/>
      <c r="F355" s="52"/>
      <c r="G355" s="130" t="s">
        <v>35</v>
      </c>
      <c r="H355" s="130"/>
      <c r="I355" s="52"/>
      <c r="J355" s="52"/>
      <c r="K355" s="52"/>
    </row>
    <row r="356" spans="2:11" x14ac:dyDescent="0.35">
      <c r="B356" s="68" t="s">
        <v>36</v>
      </c>
      <c r="C356" s="69">
        <f>C320</f>
        <v>45975</v>
      </c>
      <c r="D356" s="52"/>
      <c r="E356" s="52"/>
      <c r="F356" s="52"/>
      <c r="G356" s="68" t="s">
        <v>36</v>
      </c>
      <c r="H356" s="69">
        <f>H320</f>
        <v>45975</v>
      </c>
      <c r="I356" s="52"/>
      <c r="J356" s="52"/>
      <c r="K356" s="52"/>
    </row>
    <row r="357" spans="2:11" x14ac:dyDescent="0.35">
      <c r="B357" s="50"/>
      <c r="C357" s="51"/>
      <c r="D357" s="51"/>
      <c r="E357" s="51"/>
      <c r="F357" s="52"/>
      <c r="G357" s="50"/>
      <c r="H357" s="51"/>
      <c r="I357" s="51"/>
      <c r="J357" s="51"/>
      <c r="K357" s="52"/>
    </row>
    <row r="358" spans="2:11" x14ac:dyDescent="0.35">
      <c r="B358" s="50"/>
      <c r="C358" s="130"/>
      <c r="D358" s="130"/>
      <c r="E358" s="130"/>
      <c r="F358" s="130"/>
      <c r="G358" s="50"/>
      <c r="H358" s="130"/>
      <c r="I358" s="130"/>
      <c r="J358" s="130"/>
      <c r="K358" s="130"/>
    </row>
    <row r="359" spans="2:11" x14ac:dyDescent="0.35">
      <c r="B359" s="52"/>
      <c r="C359" s="130"/>
      <c r="D359" s="130"/>
      <c r="E359" s="130"/>
      <c r="F359" s="51"/>
      <c r="G359" s="52"/>
      <c r="H359" s="130"/>
      <c r="I359" s="130"/>
      <c r="J359" s="130"/>
      <c r="K359" s="51"/>
    </row>
    <row r="360" spans="2:11" x14ac:dyDescent="0.35">
      <c r="B360" s="52"/>
      <c r="C360" s="52"/>
      <c r="D360" s="52"/>
      <c r="E360" s="52"/>
      <c r="F360" s="52"/>
      <c r="G360" s="52"/>
      <c r="H360" s="52"/>
      <c r="I360" s="52"/>
      <c r="J360" s="52"/>
      <c r="K360" s="52"/>
    </row>
    <row r="361" spans="2:11" x14ac:dyDescent="0.35">
      <c r="B361" s="50"/>
      <c r="C361" s="51"/>
      <c r="D361" s="51"/>
      <c r="E361" s="51"/>
      <c r="F361" s="52"/>
      <c r="G361" s="50"/>
      <c r="H361" s="51"/>
      <c r="I361" s="51"/>
      <c r="J361" s="51"/>
      <c r="K361" s="52"/>
    </row>
    <row r="362" spans="2:11" x14ac:dyDescent="0.35">
      <c r="B362" s="50"/>
      <c r="C362" s="51"/>
      <c r="D362" s="51"/>
      <c r="E362" s="51"/>
      <c r="F362" s="52"/>
      <c r="G362" s="50"/>
      <c r="H362" s="51"/>
      <c r="I362" s="51"/>
      <c r="J362" s="51"/>
      <c r="K362" s="52"/>
    </row>
    <row r="363" spans="2:11" x14ac:dyDescent="0.35">
      <c r="B363" s="50"/>
      <c r="C363" s="51"/>
      <c r="D363" s="51"/>
      <c r="E363" s="51"/>
      <c r="F363" s="52"/>
      <c r="G363" s="50"/>
      <c r="H363" s="51"/>
      <c r="I363" s="51"/>
      <c r="J363" s="51"/>
      <c r="K363" s="52"/>
    </row>
    <row r="364" spans="2:11" x14ac:dyDescent="0.35">
      <c r="B364" s="50"/>
      <c r="C364" s="51"/>
      <c r="D364" s="51"/>
      <c r="E364" s="51"/>
      <c r="F364" s="52"/>
      <c r="G364" s="50"/>
      <c r="H364" s="51"/>
      <c r="I364" s="51"/>
      <c r="J364" s="51"/>
      <c r="K364" s="52"/>
    </row>
    <row r="365" spans="2:11" x14ac:dyDescent="0.35">
      <c r="B365" s="50"/>
      <c r="C365" s="51"/>
      <c r="D365" s="51"/>
      <c r="E365" s="51"/>
      <c r="F365" s="52"/>
      <c r="G365" s="50"/>
      <c r="H365" s="51"/>
      <c r="I365" s="51"/>
      <c r="J365" s="51"/>
      <c r="K365" s="52"/>
    </row>
    <row r="366" spans="2:11" x14ac:dyDescent="0.35">
      <c r="B366" s="53" t="s">
        <v>22</v>
      </c>
      <c r="C366" s="53"/>
      <c r="D366" s="53" t="s">
        <v>29</v>
      </c>
      <c r="E366" s="53" t="str">
        <f>E330</f>
        <v>2025/2026</v>
      </c>
      <c r="F366" s="52"/>
      <c r="G366" s="53" t="s">
        <v>22</v>
      </c>
      <c r="H366" s="53"/>
      <c r="I366" s="53" t="s">
        <v>29</v>
      </c>
      <c r="J366" s="53" t="str">
        <f>E366</f>
        <v>2025/2026</v>
      </c>
      <c r="K366" s="52"/>
    </row>
    <row r="367" spans="2:11" x14ac:dyDescent="0.35">
      <c r="B367" s="53" t="s">
        <v>23</v>
      </c>
      <c r="C367" s="53"/>
      <c r="D367" s="53"/>
      <c r="E367" s="53"/>
      <c r="F367" s="52"/>
      <c r="G367" s="53" t="s">
        <v>23</v>
      </c>
      <c r="H367" s="53"/>
      <c r="I367" s="53"/>
      <c r="J367" s="53"/>
      <c r="K367" s="52"/>
    </row>
    <row r="368" spans="2:11" x14ac:dyDescent="0.35">
      <c r="B368" s="53" t="s">
        <v>24</v>
      </c>
      <c r="C368" s="53"/>
      <c r="D368" s="53" t="s">
        <v>41</v>
      </c>
      <c r="E368" s="53" t="str">
        <f>E332</f>
        <v>P1-A</v>
      </c>
      <c r="F368" s="52"/>
      <c r="G368" s="53" t="s">
        <v>24</v>
      </c>
      <c r="H368" s="53"/>
      <c r="I368" s="53" t="s">
        <v>41</v>
      </c>
      <c r="J368" s="53" t="str">
        <f>E368</f>
        <v>P1-A</v>
      </c>
      <c r="K368" s="52"/>
    </row>
    <row r="369" spans="2:11" x14ac:dyDescent="0.35">
      <c r="B369" s="53" t="s">
        <v>25</v>
      </c>
      <c r="C369" s="53"/>
      <c r="D369" s="53"/>
      <c r="E369" s="52"/>
      <c r="F369" s="52"/>
      <c r="G369" s="53" t="s">
        <v>25</v>
      </c>
      <c r="H369" s="53"/>
      <c r="I369" s="53"/>
      <c r="J369" s="52"/>
      <c r="K369" s="52"/>
    </row>
    <row r="370" spans="2:11" x14ac:dyDescent="0.35">
      <c r="B370" s="53" t="s">
        <v>26</v>
      </c>
      <c r="C370" s="53"/>
      <c r="D370" s="53"/>
      <c r="E370" s="53"/>
      <c r="F370" s="52"/>
      <c r="G370" s="53" t="s">
        <v>26</v>
      </c>
      <c r="H370" s="53"/>
      <c r="I370" s="53"/>
      <c r="J370" s="53"/>
      <c r="K370" s="52"/>
    </row>
    <row r="371" spans="2:11" x14ac:dyDescent="0.35">
      <c r="B371" s="53" t="s">
        <v>9</v>
      </c>
      <c r="C371" s="53"/>
      <c r="D371" s="53" t="s">
        <v>12</v>
      </c>
      <c r="E371" s="53" t="str">
        <f>E335</f>
        <v xml:space="preserve"> INFERIEUR</v>
      </c>
      <c r="F371" s="52"/>
      <c r="G371" s="53" t="s">
        <v>9</v>
      </c>
      <c r="H371" s="53"/>
      <c r="I371" s="53" t="s">
        <v>12</v>
      </c>
      <c r="J371" s="53" t="str">
        <f>E371</f>
        <v xml:space="preserve"> INFERIEUR</v>
      </c>
      <c r="K371" s="52"/>
    </row>
    <row r="372" spans="2:11" x14ac:dyDescent="0.35">
      <c r="B372" s="53" t="s">
        <v>10</v>
      </c>
      <c r="C372" s="53"/>
      <c r="D372" s="53"/>
      <c r="E372" s="53"/>
      <c r="F372" s="52"/>
      <c r="G372" s="53" t="s">
        <v>10</v>
      </c>
      <c r="H372" s="53"/>
      <c r="I372" s="53"/>
      <c r="J372" s="53"/>
      <c r="K372" s="52"/>
    </row>
    <row r="373" spans="2:11" x14ac:dyDescent="0.35">
      <c r="B373" s="53" t="s">
        <v>27</v>
      </c>
      <c r="C373" s="53"/>
      <c r="D373" s="53"/>
      <c r="E373" s="53"/>
      <c r="F373" s="52"/>
      <c r="G373" s="53" t="s">
        <v>27</v>
      </c>
      <c r="H373" s="53"/>
      <c r="I373" s="53"/>
      <c r="J373" s="53"/>
      <c r="K373" s="52"/>
    </row>
    <row r="374" spans="2:11" ht="15" thickBot="1" x14ac:dyDescent="0.4">
      <c r="B374" s="53"/>
      <c r="C374" s="54"/>
      <c r="D374" s="54"/>
      <c r="E374" s="54"/>
      <c r="F374" s="52"/>
      <c r="G374" s="53"/>
      <c r="H374" s="54"/>
      <c r="I374" s="54"/>
      <c r="J374" s="54"/>
      <c r="K374" s="52"/>
    </row>
    <row r="375" spans="2:11" ht="15.5" thickTop="1" thickBot="1" x14ac:dyDescent="0.4">
      <c r="B375" s="53"/>
      <c r="C375" s="23" t="s">
        <v>42</v>
      </c>
      <c r="D375" s="23"/>
      <c r="E375" s="53"/>
      <c r="F375" s="52"/>
      <c r="G375" s="53"/>
      <c r="H375" s="23" t="s">
        <v>42</v>
      </c>
      <c r="I375" s="23"/>
      <c r="J375" s="53"/>
      <c r="K375" s="52"/>
    </row>
    <row r="376" spans="2:11" ht="15.5" thickTop="1" thickBot="1" x14ac:dyDescent="0.4">
      <c r="B376" s="53" t="s">
        <v>40</v>
      </c>
      <c r="C376" s="123" t="str">
        <f>Summary!C28</f>
        <v>KWIHANGANA   Honestly</v>
      </c>
      <c r="D376" s="123"/>
      <c r="E376" s="55"/>
      <c r="F376" s="52"/>
      <c r="G376" s="53" t="s">
        <v>40</v>
      </c>
      <c r="H376" s="86" t="str">
        <f>Summary!C29</f>
        <v>KWIZERA SHYAKA  Thibaut</v>
      </c>
      <c r="I376" s="86"/>
      <c r="J376" s="55"/>
      <c r="K376" s="52"/>
    </row>
    <row r="377" spans="2:11" ht="15" thickTop="1" x14ac:dyDescent="0.35">
      <c r="B377" s="124" t="s">
        <v>43</v>
      </c>
      <c r="C377" s="126" t="s">
        <v>37</v>
      </c>
      <c r="D377" s="127"/>
      <c r="E377" s="56"/>
      <c r="F377" s="52"/>
      <c r="G377" s="124" t="s">
        <v>43</v>
      </c>
      <c r="H377" s="126" t="s">
        <v>37</v>
      </c>
      <c r="I377" s="127"/>
      <c r="J377" s="56"/>
      <c r="K377" s="52"/>
    </row>
    <row r="378" spans="2:11" ht="15" thickBot="1" x14ac:dyDescent="0.4">
      <c r="B378" s="125"/>
      <c r="C378" s="57" t="s">
        <v>39</v>
      </c>
      <c r="D378" s="58" t="s">
        <v>38</v>
      </c>
      <c r="E378" s="54"/>
      <c r="F378" s="52"/>
      <c r="G378" s="125"/>
      <c r="H378" s="57" t="s">
        <v>39</v>
      </c>
      <c r="I378" s="58" t="s">
        <v>38</v>
      </c>
      <c r="J378" s="54"/>
      <c r="K378" s="52"/>
    </row>
    <row r="379" spans="2:11" ht="15" thickTop="1" x14ac:dyDescent="0.35">
      <c r="B379" s="59" t="s">
        <v>15</v>
      </c>
      <c r="C379" s="60">
        <f t="shared" ref="C379:C384" si="19">C343</f>
        <v>60</v>
      </c>
      <c r="D379" s="61">
        <f>Summary!E28</f>
        <v>58</v>
      </c>
      <c r="E379" s="54"/>
      <c r="F379" s="52"/>
      <c r="G379" s="59" t="s">
        <v>15</v>
      </c>
      <c r="H379" s="60">
        <f t="shared" ref="H379:H384" si="20">C379</f>
        <v>60</v>
      </c>
      <c r="I379" s="61">
        <f>Summary!E29</f>
        <v>58</v>
      </c>
      <c r="J379" s="54"/>
      <c r="K379" s="52"/>
    </row>
    <row r="380" spans="2:11" x14ac:dyDescent="0.35">
      <c r="B380" s="59" t="s">
        <v>30</v>
      </c>
      <c r="C380" s="60">
        <f t="shared" si="19"/>
        <v>30</v>
      </c>
      <c r="D380" s="61">
        <f>Summary!G28</f>
        <v>26</v>
      </c>
      <c r="E380" s="54"/>
      <c r="F380" s="52"/>
      <c r="G380" s="59" t="s">
        <v>30</v>
      </c>
      <c r="H380" s="60">
        <f t="shared" si="20"/>
        <v>30</v>
      </c>
      <c r="I380" s="61">
        <f>Summary!G29</f>
        <v>24</v>
      </c>
      <c r="J380" s="54"/>
      <c r="K380" s="52"/>
    </row>
    <row r="381" spans="2:11" x14ac:dyDescent="0.35">
      <c r="B381" s="59" t="s">
        <v>4</v>
      </c>
      <c r="C381" s="60">
        <f t="shared" si="19"/>
        <v>80</v>
      </c>
      <c r="D381" s="61">
        <f>Summary!I28</f>
        <v>70</v>
      </c>
      <c r="E381" s="54"/>
      <c r="F381" s="52"/>
      <c r="G381" s="59" t="s">
        <v>4</v>
      </c>
      <c r="H381" s="60">
        <f t="shared" si="20"/>
        <v>80</v>
      </c>
      <c r="I381" s="61">
        <f>Summary!I29</f>
        <v>62</v>
      </c>
      <c r="J381" s="54"/>
      <c r="K381" s="52"/>
    </row>
    <row r="382" spans="2:11" x14ac:dyDescent="0.35">
      <c r="B382" s="62" t="s">
        <v>5</v>
      </c>
      <c r="C382" s="60">
        <f t="shared" si="19"/>
        <v>80</v>
      </c>
      <c r="D382" s="61">
        <f>Summary!K28</f>
        <v>68</v>
      </c>
      <c r="E382" s="54"/>
      <c r="F382" s="52"/>
      <c r="G382" s="62" t="s">
        <v>5</v>
      </c>
      <c r="H382" s="60">
        <f t="shared" si="20"/>
        <v>80</v>
      </c>
      <c r="I382" s="61">
        <f>Summary!K29</f>
        <v>80</v>
      </c>
      <c r="J382" s="54"/>
      <c r="K382" s="52"/>
    </row>
    <row r="383" spans="2:11" x14ac:dyDescent="0.35">
      <c r="B383" s="62" t="s">
        <v>17</v>
      </c>
      <c r="C383" s="60">
        <f t="shared" si="19"/>
        <v>30</v>
      </c>
      <c r="D383" s="61">
        <f>Summary!M28</f>
        <v>24</v>
      </c>
      <c r="E383" s="54"/>
      <c r="F383" s="52"/>
      <c r="G383" s="62" t="s">
        <v>17</v>
      </c>
      <c r="H383" s="60">
        <f t="shared" si="20"/>
        <v>30</v>
      </c>
      <c r="I383" s="61">
        <f>Summary!M29</f>
        <v>27</v>
      </c>
      <c r="J383" s="54"/>
      <c r="K383" s="52"/>
    </row>
    <row r="384" spans="2:11" ht="15" thickBot="1" x14ac:dyDescent="0.4">
      <c r="B384" s="62" t="s">
        <v>46</v>
      </c>
      <c r="C384" s="60">
        <f t="shared" si="19"/>
        <v>80</v>
      </c>
      <c r="D384" s="61">
        <f>Summary!O28</f>
        <v>53</v>
      </c>
      <c r="E384" s="54"/>
      <c r="F384" s="52"/>
      <c r="G384" s="62" t="s">
        <v>46</v>
      </c>
      <c r="H384" s="60">
        <f t="shared" si="20"/>
        <v>80</v>
      </c>
      <c r="I384" s="61">
        <f>Summary!O29</f>
        <v>70</v>
      </c>
      <c r="J384" s="54"/>
      <c r="K384" s="52"/>
    </row>
    <row r="385" spans="2:11" ht="15.5" thickTop="1" thickBot="1" x14ac:dyDescent="0.4">
      <c r="B385" s="63" t="s">
        <v>11</v>
      </c>
      <c r="C385" s="64">
        <f>SUM(C379:C384)</f>
        <v>360</v>
      </c>
      <c r="D385" s="65">
        <f>SUM(D379:D384)</f>
        <v>299</v>
      </c>
      <c r="E385" s="54"/>
      <c r="F385" s="52"/>
      <c r="G385" s="63" t="s">
        <v>11</v>
      </c>
      <c r="H385" s="64">
        <f>SUM(H379:H384)</f>
        <v>360</v>
      </c>
      <c r="I385" s="65">
        <f>SUM(I379:I384)</f>
        <v>321</v>
      </c>
      <c r="J385" s="54"/>
      <c r="K385" s="52"/>
    </row>
    <row r="386" spans="2:11" ht="15.5" thickTop="1" thickBot="1" x14ac:dyDescent="0.4">
      <c r="B386" s="66" t="s">
        <v>32</v>
      </c>
      <c r="C386" s="128">
        <f>D385/C385</f>
        <v>0.8305555555555556</v>
      </c>
      <c r="D386" s="129"/>
      <c r="E386" s="54"/>
      <c r="F386" s="52"/>
      <c r="G386" s="66" t="s">
        <v>32</v>
      </c>
      <c r="H386" s="128">
        <f>I385/H385</f>
        <v>0.89166666666666672</v>
      </c>
      <c r="I386" s="129"/>
      <c r="J386" s="54"/>
      <c r="K386" s="52"/>
    </row>
    <row r="387" spans="2:11" ht="15.5" thickTop="1" thickBot="1" x14ac:dyDescent="0.4">
      <c r="B387" s="63" t="s">
        <v>21</v>
      </c>
      <c r="C387" s="83">
        <f>Summary!S28</f>
        <v>30</v>
      </c>
      <c r="D387" s="81">
        <f>Summary!S7</f>
        <v>44</v>
      </c>
      <c r="E387" s="54"/>
      <c r="F387" s="52"/>
      <c r="G387" s="63" t="s">
        <v>21</v>
      </c>
      <c r="H387" s="83">
        <f>Summary!S29</f>
        <v>19</v>
      </c>
      <c r="I387" s="81">
        <f>Summary!S7</f>
        <v>44</v>
      </c>
      <c r="J387" s="54"/>
      <c r="K387" s="52"/>
    </row>
    <row r="388" spans="2:11" ht="30" thickTop="1" thickBot="1" x14ac:dyDescent="0.4">
      <c r="B388" s="67" t="s">
        <v>33</v>
      </c>
      <c r="C388" s="134"/>
      <c r="D388" s="135"/>
      <c r="E388" s="54"/>
      <c r="F388" s="52"/>
      <c r="G388" s="67" t="s">
        <v>33</v>
      </c>
      <c r="H388" s="134"/>
      <c r="I388" s="135"/>
      <c r="J388" s="54"/>
      <c r="K388" s="52"/>
    </row>
    <row r="389" spans="2:11" ht="30" thickTop="1" thickBot="1" x14ac:dyDescent="0.4">
      <c r="B389" s="67" t="s">
        <v>34</v>
      </c>
      <c r="C389" s="131"/>
      <c r="D389" s="132"/>
      <c r="E389" s="54"/>
      <c r="F389" s="52"/>
      <c r="G389" s="67" t="s">
        <v>34</v>
      </c>
      <c r="H389" s="131"/>
      <c r="I389" s="132"/>
      <c r="J389" s="54"/>
      <c r="K389" s="52"/>
    </row>
    <row r="390" spans="2:11" ht="15" thickTop="1" x14ac:dyDescent="0.35">
      <c r="B390" s="50"/>
      <c r="C390" s="51"/>
      <c r="D390" s="51"/>
      <c r="E390" s="51"/>
      <c r="F390" s="52"/>
      <c r="G390" s="50"/>
      <c r="H390" s="51"/>
      <c r="I390" s="51"/>
      <c r="J390" s="51"/>
      <c r="K390" s="52"/>
    </row>
    <row r="391" spans="2:11" x14ac:dyDescent="0.35">
      <c r="B391" s="130" t="s">
        <v>35</v>
      </c>
      <c r="C391" s="130"/>
      <c r="D391" s="52"/>
      <c r="E391" s="52"/>
      <c r="F391" s="52"/>
      <c r="G391" s="130" t="s">
        <v>35</v>
      </c>
      <c r="H391" s="130"/>
      <c r="I391" s="52"/>
      <c r="J391" s="52"/>
      <c r="K391" s="52"/>
    </row>
    <row r="392" spans="2:11" x14ac:dyDescent="0.35">
      <c r="B392" s="68" t="s">
        <v>36</v>
      </c>
      <c r="C392" s="69">
        <f>C356</f>
        <v>45975</v>
      </c>
      <c r="D392" s="52"/>
      <c r="E392" s="52"/>
      <c r="F392" s="52"/>
      <c r="G392" s="68" t="s">
        <v>36</v>
      </c>
      <c r="H392" s="69">
        <f>H356</f>
        <v>45975</v>
      </c>
      <c r="I392" s="52"/>
      <c r="J392" s="52"/>
      <c r="K392" s="52"/>
    </row>
    <row r="393" spans="2:11" x14ac:dyDescent="0.35">
      <c r="B393" s="50"/>
      <c r="C393" s="51"/>
      <c r="D393" s="51"/>
      <c r="E393" s="51"/>
      <c r="F393" s="52"/>
      <c r="G393" s="50"/>
      <c r="H393" s="51"/>
      <c r="I393" s="51"/>
      <c r="J393" s="51"/>
      <c r="K393" s="52"/>
    </row>
    <row r="394" spans="2:11" x14ac:dyDescent="0.35">
      <c r="B394" s="50"/>
      <c r="C394" s="130"/>
      <c r="D394" s="130"/>
      <c r="E394" s="130"/>
      <c r="F394" s="130"/>
      <c r="G394" s="50"/>
      <c r="H394" s="130"/>
      <c r="I394" s="130"/>
      <c r="J394" s="130"/>
      <c r="K394" s="130"/>
    </row>
    <row r="395" spans="2:11" x14ac:dyDescent="0.35">
      <c r="B395" s="52"/>
      <c r="C395" s="130"/>
      <c r="D395" s="130"/>
      <c r="E395" s="130"/>
      <c r="F395" s="51"/>
      <c r="G395" s="52"/>
      <c r="H395" s="130"/>
      <c r="I395" s="130"/>
      <c r="J395" s="130"/>
      <c r="K395" s="51"/>
    </row>
    <row r="396" spans="2:11" x14ac:dyDescent="0.35">
      <c r="B396" s="52"/>
      <c r="C396" s="52"/>
      <c r="D396" s="52"/>
      <c r="E396" s="52"/>
      <c r="F396" s="52"/>
      <c r="G396" s="52"/>
      <c r="H396" s="52"/>
      <c r="I396" s="52"/>
      <c r="J396" s="52"/>
      <c r="K396" s="52"/>
    </row>
    <row r="397" spans="2:11" x14ac:dyDescent="0.35">
      <c r="B397" s="50"/>
      <c r="C397" s="51"/>
      <c r="D397" s="51"/>
      <c r="E397" s="51"/>
      <c r="F397" s="52"/>
      <c r="G397" s="50"/>
      <c r="H397" s="51"/>
      <c r="I397" s="51"/>
      <c r="J397" s="51"/>
      <c r="K397" s="52"/>
    </row>
    <row r="398" spans="2:11" x14ac:dyDescent="0.35">
      <c r="B398" s="50"/>
      <c r="C398" s="51"/>
      <c r="D398" s="51"/>
      <c r="E398" s="51"/>
      <c r="F398" s="52"/>
      <c r="G398" s="50"/>
      <c r="H398" s="51"/>
      <c r="I398" s="51"/>
      <c r="J398" s="51"/>
      <c r="K398" s="52"/>
    </row>
    <row r="399" spans="2:11" x14ac:dyDescent="0.35">
      <c r="B399" s="50"/>
      <c r="C399" s="51"/>
      <c r="D399" s="51"/>
      <c r="E399" s="51"/>
      <c r="F399" s="52"/>
      <c r="G399" s="50"/>
      <c r="H399" s="51"/>
      <c r="I399" s="51"/>
      <c r="J399" s="51"/>
      <c r="K399" s="52"/>
    </row>
    <row r="400" spans="2:11" x14ac:dyDescent="0.35">
      <c r="B400" s="50"/>
      <c r="C400" s="51"/>
      <c r="D400" s="51"/>
      <c r="E400" s="51"/>
      <c r="F400" s="52"/>
      <c r="G400" s="50"/>
      <c r="H400" s="51"/>
      <c r="I400" s="51"/>
      <c r="J400" s="51"/>
      <c r="K400" s="52"/>
    </row>
    <row r="401" spans="2:11" x14ac:dyDescent="0.35">
      <c r="B401" s="50"/>
      <c r="C401" s="51"/>
      <c r="D401" s="51"/>
      <c r="E401" s="51"/>
      <c r="F401" s="52"/>
      <c r="G401" s="50"/>
      <c r="H401" s="51"/>
      <c r="I401" s="51"/>
      <c r="J401" s="51"/>
      <c r="K401" s="52"/>
    </row>
    <row r="402" spans="2:11" x14ac:dyDescent="0.35">
      <c r="B402" s="53" t="s">
        <v>22</v>
      </c>
      <c r="C402" s="53"/>
      <c r="D402" s="53" t="s">
        <v>29</v>
      </c>
      <c r="E402" s="53" t="str">
        <f>E366</f>
        <v>2025/2026</v>
      </c>
      <c r="F402" s="52"/>
      <c r="G402" s="53" t="s">
        <v>22</v>
      </c>
      <c r="H402" s="53"/>
      <c r="I402" s="53" t="s">
        <v>29</v>
      </c>
      <c r="J402" s="53" t="str">
        <f>E402</f>
        <v>2025/2026</v>
      </c>
      <c r="K402" s="52"/>
    </row>
    <row r="403" spans="2:11" x14ac:dyDescent="0.35">
      <c r="B403" s="53" t="s">
        <v>23</v>
      </c>
      <c r="C403" s="53"/>
      <c r="D403" s="53"/>
      <c r="E403" s="53"/>
      <c r="F403" s="52"/>
      <c r="G403" s="53" t="s">
        <v>23</v>
      </c>
      <c r="H403" s="53"/>
      <c r="I403" s="53"/>
      <c r="J403" s="53"/>
      <c r="K403" s="52"/>
    </row>
    <row r="404" spans="2:11" x14ac:dyDescent="0.35">
      <c r="B404" s="53" t="s">
        <v>24</v>
      </c>
      <c r="C404" s="53"/>
      <c r="D404" s="53" t="s">
        <v>41</v>
      </c>
      <c r="E404" s="53" t="str">
        <f>E368</f>
        <v>P1-A</v>
      </c>
      <c r="F404" s="52"/>
      <c r="G404" s="53" t="s">
        <v>24</v>
      </c>
      <c r="H404" s="53"/>
      <c r="I404" s="53" t="s">
        <v>41</v>
      </c>
      <c r="J404" s="53" t="str">
        <f>E404</f>
        <v>P1-A</v>
      </c>
      <c r="K404" s="52"/>
    </row>
    <row r="405" spans="2:11" x14ac:dyDescent="0.35">
      <c r="B405" s="53" t="s">
        <v>25</v>
      </c>
      <c r="C405" s="53"/>
      <c r="D405" s="53"/>
      <c r="E405" s="52"/>
      <c r="F405" s="52"/>
      <c r="G405" s="53" t="s">
        <v>25</v>
      </c>
      <c r="H405" s="53"/>
      <c r="I405" s="53"/>
      <c r="J405" s="52"/>
      <c r="K405" s="52"/>
    </row>
    <row r="406" spans="2:11" x14ac:dyDescent="0.35">
      <c r="B406" s="53" t="s">
        <v>26</v>
      </c>
      <c r="C406" s="53"/>
      <c r="D406" s="53"/>
      <c r="E406" s="53"/>
      <c r="F406" s="52"/>
      <c r="G406" s="53" t="s">
        <v>26</v>
      </c>
      <c r="H406" s="53"/>
      <c r="I406" s="53"/>
      <c r="J406" s="53"/>
      <c r="K406" s="52"/>
    </row>
    <row r="407" spans="2:11" x14ac:dyDescent="0.35">
      <c r="B407" s="53" t="s">
        <v>9</v>
      </c>
      <c r="C407" s="53"/>
      <c r="D407" s="53" t="s">
        <v>12</v>
      </c>
      <c r="E407" s="53" t="str">
        <f>E371</f>
        <v xml:space="preserve"> INFERIEUR</v>
      </c>
      <c r="F407" s="52"/>
      <c r="G407" s="53" t="s">
        <v>9</v>
      </c>
      <c r="H407" s="53"/>
      <c r="I407" s="53" t="s">
        <v>12</v>
      </c>
      <c r="J407" s="53" t="str">
        <f>E407</f>
        <v xml:space="preserve"> INFERIEUR</v>
      </c>
      <c r="K407" s="52"/>
    </row>
    <row r="408" spans="2:11" x14ac:dyDescent="0.35">
      <c r="B408" s="53" t="s">
        <v>10</v>
      </c>
      <c r="C408" s="53"/>
      <c r="D408" s="53"/>
      <c r="E408" s="53"/>
      <c r="F408" s="52"/>
      <c r="G408" s="53" t="s">
        <v>10</v>
      </c>
      <c r="H408" s="53"/>
      <c r="I408" s="53"/>
      <c r="J408" s="53"/>
      <c r="K408" s="52"/>
    </row>
    <row r="409" spans="2:11" x14ac:dyDescent="0.35">
      <c r="B409" s="53" t="s">
        <v>27</v>
      </c>
      <c r="C409" s="53"/>
      <c r="D409" s="53"/>
      <c r="E409" s="53"/>
      <c r="F409" s="52"/>
      <c r="G409" s="53" t="s">
        <v>27</v>
      </c>
      <c r="H409" s="53"/>
      <c r="I409" s="53"/>
      <c r="J409" s="53"/>
      <c r="K409" s="52"/>
    </row>
    <row r="410" spans="2:11" ht="15" thickBot="1" x14ac:dyDescent="0.4">
      <c r="B410" s="53"/>
      <c r="C410" s="54"/>
      <c r="D410" s="54"/>
      <c r="E410" s="54"/>
      <c r="F410" s="52"/>
      <c r="G410" s="53"/>
      <c r="H410" s="54"/>
      <c r="I410" s="54"/>
      <c r="J410" s="54"/>
      <c r="K410" s="52"/>
    </row>
    <row r="411" spans="2:11" ht="15.5" thickTop="1" thickBot="1" x14ac:dyDescent="0.4">
      <c r="B411" s="53"/>
      <c r="C411" s="23" t="s">
        <v>42</v>
      </c>
      <c r="D411" s="23"/>
      <c r="E411" s="53"/>
      <c r="F411" s="52"/>
      <c r="G411" s="53"/>
      <c r="H411" s="23" t="s">
        <v>42</v>
      </c>
      <c r="I411" s="23"/>
      <c r="J411" s="53"/>
      <c r="K411" s="52"/>
    </row>
    <row r="412" spans="2:11" ht="15.5" thickTop="1" thickBot="1" x14ac:dyDescent="0.4">
      <c r="B412" s="53" t="s">
        <v>40</v>
      </c>
      <c r="C412" s="123" t="str">
        <f>Summary!C30</f>
        <v>MANZI Aime  Bonheur</v>
      </c>
      <c r="D412" s="123"/>
      <c r="E412" s="55"/>
      <c r="F412" s="52"/>
      <c r="G412" s="53" t="s">
        <v>40</v>
      </c>
      <c r="H412" s="123" t="str">
        <f>Summary!C31</f>
        <v>MUGISHA Alpha</v>
      </c>
      <c r="I412" s="123"/>
      <c r="J412" s="55"/>
      <c r="K412" s="52"/>
    </row>
    <row r="413" spans="2:11" ht="15" thickTop="1" x14ac:dyDescent="0.35">
      <c r="B413" s="124" t="s">
        <v>43</v>
      </c>
      <c r="C413" s="126" t="s">
        <v>37</v>
      </c>
      <c r="D413" s="127"/>
      <c r="E413" s="56"/>
      <c r="F413" s="52"/>
      <c r="G413" s="124" t="s">
        <v>43</v>
      </c>
      <c r="H413" s="126" t="s">
        <v>37</v>
      </c>
      <c r="I413" s="127"/>
      <c r="J413" s="56"/>
      <c r="K413" s="52"/>
    </row>
    <row r="414" spans="2:11" ht="15" thickBot="1" x14ac:dyDescent="0.4">
      <c r="B414" s="125"/>
      <c r="C414" s="57" t="s">
        <v>39</v>
      </c>
      <c r="D414" s="58" t="s">
        <v>38</v>
      </c>
      <c r="E414" s="54"/>
      <c r="F414" s="52"/>
      <c r="G414" s="125"/>
      <c r="H414" s="57" t="s">
        <v>39</v>
      </c>
      <c r="I414" s="58" t="s">
        <v>38</v>
      </c>
      <c r="J414" s="54"/>
      <c r="K414" s="52"/>
    </row>
    <row r="415" spans="2:11" ht="15" thickTop="1" x14ac:dyDescent="0.35">
      <c r="B415" s="59" t="s">
        <v>15</v>
      </c>
      <c r="C415" s="60">
        <f t="shared" ref="C415:C420" si="21">C379</f>
        <v>60</v>
      </c>
      <c r="D415" s="61">
        <f>Summary!E30</f>
        <v>56</v>
      </c>
      <c r="E415" s="54"/>
      <c r="F415" s="52"/>
      <c r="G415" s="59" t="s">
        <v>15</v>
      </c>
      <c r="H415" s="60">
        <f t="shared" ref="H415:H420" si="22">C415</f>
        <v>60</v>
      </c>
      <c r="I415" s="61">
        <f>Summary!E31</f>
        <v>60</v>
      </c>
      <c r="J415" s="54"/>
      <c r="K415" s="52"/>
    </row>
    <row r="416" spans="2:11" x14ac:dyDescent="0.35">
      <c r="B416" s="59" t="s">
        <v>30</v>
      </c>
      <c r="C416" s="60">
        <f t="shared" si="21"/>
        <v>30</v>
      </c>
      <c r="D416" s="61">
        <f>Summary!G30</f>
        <v>19</v>
      </c>
      <c r="E416" s="54"/>
      <c r="F416" s="52"/>
      <c r="G416" s="59" t="s">
        <v>30</v>
      </c>
      <c r="H416" s="60">
        <f t="shared" si="22"/>
        <v>30</v>
      </c>
      <c r="I416" s="61">
        <f>Summary!G31</f>
        <v>30</v>
      </c>
      <c r="J416" s="54"/>
      <c r="K416" s="52"/>
    </row>
    <row r="417" spans="2:11" x14ac:dyDescent="0.35">
      <c r="B417" s="59" t="s">
        <v>4</v>
      </c>
      <c r="C417" s="60">
        <f t="shared" si="21"/>
        <v>80</v>
      </c>
      <c r="D417" s="61">
        <f>Summary!I30</f>
        <v>78</v>
      </c>
      <c r="E417" s="54"/>
      <c r="F417" s="52"/>
      <c r="G417" s="59" t="s">
        <v>4</v>
      </c>
      <c r="H417" s="60">
        <f t="shared" si="22"/>
        <v>80</v>
      </c>
      <c r="I417" s="61">
        <f>Summary!I31</f>
        <v>80</v>
      </c>
      <c r="J417" s="54"/>
      <c r="K417" s="52"/>
    </row>
    <row r="418" spans="2:11" x14ac:dyDescent="0.35">
      <c r="B418" s="62" t="s">
        <v>5</v>
      </c>
      <c r="C418" s="60">
        <f t="shared" si="21"/>
        <v>80</v>
      </c>
      <c r="D418" s="61">
        <f>Summary!K30</f>
        <v>72</v>
      </c>
      <c r="E418" s="54"/>
      <c r="F418" s="52"/>
      <c r="G418" s="62" t="s">
        <v>5</v>
      </c>
      <c r="H418" s="60">
        <f t="shared" si="22"/>
        <v>80</v>
      </c>
      <c r="I418" s="61">
        <f>Summary!K31</f>
        <v>80</v>
      </c>
      <c r="J418" s="54"/>
      <c r="K418" s="52"/>
    </row>
    <row r="419" spans="2:11" x14ac:dyDescent="0.35">
      <c r="B419" s="62" t="s">
        <v>17</v>
      </c>
      <c r="C419" s="60">
        <f t="shared" si="21"/>
        <v>30</v>
      </c>
      <c r="D419" s="61">
        <f>Summary!M30</f>
        <v>20</v>
      </c>
      <c r="E419" s="54"/>
      <c r="F419" s="52"/>
      <c r="G419" s="62" t="s">
        <v>17</v>
      </c>
      <c r="H419" s="60">
        <f t="shared" si="22"/>
        <v>30</v>
      </c>
      <c r="I419" s="61">
        <f>Summary!M31</f>
        <v>30</v>
      </c>
      <c r="J419" s="54"/>
      <c r="K419" s="52"/>
    </row>
    <row r="420" spans="2:11" ht="15" thickBot="1" x14ac:dyDescent="0.4">
      <c r="B420" s="62" t="s">
        <v>46</v>
      </c>
      <c r="C420" s="60">
        <f t="shared" si="21"/>
        <v>80</v>
      </c>
      <c r="D420" s="61">
        <f>Summary!O30</f>
        <v>56</v>
      </c>
      <c r="E420" s="54"/>
      <c r="F420" s="52"/>
      <c r="G420" s="62" t="s">
        <v>46</v>
      </c>
      <c r="H420" s="60">
        <f t="shared" si="22"/>
        <v>80</v>
      </c>
      <c r="I420" s="61">
        <f>Summary!O31</f>
        <v>80</v>
      </c>
      <c r="J420" s="54"/>
      <c r="K420" s="52"/>
    </row>
    <row r="421" spans="2:11" ht="15.5" thickTop="1" thickBot="1" x14ac:dyDescent="0.4">
      <c r="B421" s="63" t="s">
        <v>11</v>
      </c>
      <c r="C421" s="64">
        <f>SUM(C415:C420)</f>
        <v>360</v>
      </c>
      <c r="D421" s="65">
        <f>SUM(D415:D420)</f>
        <v>301</v>
      </c>
      <c r="E421" s="54"/>
      <c r="F421" s="52"/>
      <c r="G421" s="63" t="s">
        <v>11</v>
      </c>
      <c r="H421" s="64">
        <f>SUM(H415:H420)</f>
        <v>360</v>
      </c>
      <c r="I421" s="65">
        <f>SUM(I415:I420)</f>
        <v>360</v>
      </c>
      <c r="J421" s="54"/>
      <c r="K421" s="52"/>
    </row>
    <row r="422" spans="2:11" ht="15.5" thickTop="1" thickBot="1" x14ac:dyDescent="0.4">
      <c r="B422" s="66" t="s">
        <v>32</v>
      </c>
      <c r="C422" s="128">
        <f>D421/C421</f>
        <v>0.83611111111111114</v>
      </c>
      <c r="D422" s="129"/>
      <c r="E422" s="54"/>
      <c r="F422" s="52"/>
      <c r="G422" s="66" t="s">
        <v>32</v>
      </c>
      <c r="H422" s="128">
        <f>I421/H421</f>
        <v>1</v>
      </c>
      <c r="I422" s="129"/>
      <c r="J422" s="54"/>
      <c r="K422" s="52"/>
    </row>
    <row r="423" spans="2:11" ht="15.5" thickTop="1" thickBot="1" x14ac:dyDescent="0.4">
      <c r="B423" s="63" t="s">
        <v>21</v>
      </c>
      <c r="C423" s="83">
        <f>Summary!S30</f>
        <v>28</v>
      </c>
      <c r="D423" s="81">
        <f>Summary!S7</f>
        <v>44</v>
      </c>
      <c r="E423" s="54"/>
      <c r="F423" s="52"/>
      <c r="G423" s="63" t="s">
        <v>21</v>
      </c>
      <c r="H423" s="83">
        <f>Summary!S31</f>
        <v>1</v>
      </c>
      <c r="I423" s="81">
        <f>Summary!S7</f>
        <v>44</v>
      </c>
      <c r="J423" s="54"/>
      <c r="K423" s="52"/>
    </row>
    <row r="424" spans="2:11" ht="30" thickTop="1" thickBot="1" x14ac:dyDescent="0.4">
      <c r="B424" s="67" t="s">
        <v>33</v>
      </c>
      <c r="C424" s="134"/>
      <c r="D424" s="135"/>
      <c r="E424" s="54"/>
      <c r="F424" s="52"/>
      <c r="G424" s="67" t="s">
        <v>33</v>
      </c>
      <c r="H424" s="134"/>
      <c r="I424" s="135"/>
      <c r="J424" s="54"/>
      <c r="K424" s="52"/>
    </row>
    <row r="425" spans="2:11" ht="30" thickTop="1" thickBot="1" x14ac:dyDescent="0.4">
      <c r="B425" s="67" t="s">
        <v>34</v>
      </c>
      <c r="C425" s="131"/>
      <c r="D425" s="132"/>
      <c r="E425" s="54"/>
      <c r="F425" s="52"/>
      <c r="G425" s="67" t="s">
        <v>34</v>
      </c>
      <c r="H425" s="131"/>
      <c r="I425" s="132"/>
      <c r="J425" s="54"/>
      <c r="K425" s="52"/>
    </row>
    <row r="426" spans="2:11" ht="15" thickTop="1" x14ac:dyDescent="0.35">
      <c r="B426" s="50"/>
      <c r="C426" s="51"/>
      <c r="D426" s="51"/>
      <c r="E426" s="51"/>
      <c r="F426" s="52"/>
      <c r="G426" s="50"/>
      <c r="H426" s="51"/>
      <c r="I426" s="51"/>
      <c r="J426" s="51"/>
      <c r="K426" s="52"/>
    </row>
    <row r="427" spans="2:11" x14ac:dyDescent="0.35">
      <c r="B427" s="130" t="s">
        <v>35</v>
      </c>
      <c r="C427" s="130"/>
      <c r="D427" s="52"/>
      <c r="E427" s="52"/>
      <c r="F427" s="52"/>
      <c r="G427" s="130" t="s">
        <v>35</v>
      </c>
      <c r="H427" s="130"/>
      <c r="I427" s="52"/>
      <c r="J427" s="52"/>
      <c r="K427" s="52"/>
    </row>
    <row r="428" spans="2:11" x14ac:dyDescent="0.35">
      <c r="B428" s="68" t="s">
        <v>36</v>
      </c>
      <c r="C428" s="69">
        <f>C392</f>
        <v>45975</v>
      </c>
      <c r="D428" s="52"/>
      <c r="E428" s="52"/>
      <c r="F428" s="52"/>
      <c r="G428" s="68" t="s">
        <v>36</v>
      </c>
      <c r="H428" s="69">
        <f>H392</f>
        <v>45975</v>
      </c>
      <c r="I428" s="52"/>
      <c r="J428" s="52"/>
      <c r="K428" s="52"/>
    </row>
    <row r="429" spans="2:11" x14ac:dyDescent="0.35">
      <c r="B429" s="50"/>
      <c r="C429" s="51"/>
      <c r="D429" s="51"/>
      <c r="E429" s="51"/>
      <c r="F429" s="52"/>
      <c r="G429" s="50"/>
      <c r="H429" s="51"/>
      <c r="I429" s="51"/>
      <c r="J429" s="51"/>
      <c r="K429" s="52"/>
    </row>
    <row r="430" spans="2:11" x14ac:dyDescent="0.35">
      <c r="B430" s="50"/>
      <c r="C430" s="130"/>
      <c r="D430" s="130"/>
      <c r="E430" s="130"/>
      <c r="F430" s="130"/>
      <c r="G430" s="50"/>
      <c r="H430" s="130"/>
      <c r="I430" s="130"/>
      <c r="J430" s="130"/>
      <c r="K430" s="130"/>
    </row>
    <row r="431" spans="2:11" x14ac:dyDescent="0.35">
      <c r="B431" s="52"/>
      <c r="C431" s="130"/>
      <c r="D431" s="130"/>
      <c r="E431" s="130"/>
      <c r="F431" s="51"/>
      <c r="G431" s="52"/>
      <c r="H431" s="130"/>
      <c r="I431" s="130"/>
      <c r="J431" s="130"/>
      <c r="K431" s="51"/>
    </row>
    <row r="432" spans="2:11" x14ac:dyDescent="0.35">
      <c r="B432" s="52"/>
      <c r="C432" s="52"/>
      <c r="D432" s="52"/>
      <c r="E432" s="52"/>
      <c r="F432" s="52"/>
      <c r="G432" s="52"/>
      <c r="H432" s="52"/>
      <c r="I432" s="52"/>
      <c r="J432" s="52"/>
      <c r="K432" s="52"/>
    </row>
    <row r="433" spans="2:11" x14ac:dyDescent="0.35">
      <c r="B433" s="50"/>
      <c r="C433" s="51"/>
      <c r="D433" s="51"/>
      <c r="E433" s="51"/>
      <c r="F433" s="52"/>
      <c r="G433" s="50"/>
      <c r="H433" s="51"/>
      <c r="I433" s="51"/>
      <c r="J433" s="51"/>
      <c r="K433" s="52"/>
    </row>
    <row r="434" spans="2:11" x14ac:dyDescent="0.35">
      <c r="B434" s="50"/>
      <c r="C434" s="51"/>
      <c r="D434" s="51"/>
      <c r="E434" s="51"/>
      <c r="F434" s="52"/>
      <c r="G434" s="50"/>
      <c r="H434" s="51"/>
      <c r="I434" s="51"/>
      <c r="J434" s="51"/>
      <c r="K434" s="52"/>
    </row>
    <row r="435" spans="2:11" x14ac:dyDescent="0.35">
      <c r="B435" s="50"/>
      <c r="C435" s="51"/>
      <c r="D435" s="51"/>
      <c r="E435" s="51"/>
      <c r="F435" s="52"/>
      <c r="G435" s="50"/>
      <c r="H435" s="51"/>
      <c r="I435" s="51"/>
      <c r="J435" s="51"/>
      <c r="K435" s="52"/>
    </row>
    <row r="436" spans="2:11" x14ac:dyDescent="0.35">
      <c r="B436" s="50"/>
      <c r="C436" s="51"/>
      <c r="D436" s="51"/>
      <c r="E436" s="51"/>
      <c r="F436" s="52"/>
      <c r="G436" s="50"/>
      <c r="H436" s="51"/>
      <c r="I436" s="51"/>
      <c r="J436" s="51"/>
      <c r="K436" s="52"/>
    </row>
    <row r="437" spans="2:11" x14ac:dyDescent="0.35">
      <c r="B437" s="50"/>
      <c r="C437" s="51"/>
      <c r="D437" s="51"/>
      <c r="E437" s="51"/>
      <c r="F437" s="52"/>
      <c r="G437" s="50"/>
      <c r="H437" s="51"/>
      <c r="I437" s="51"/>
      <c r="J437" s="51"/>
      <c r="K437" s="52"/>
    </row>
    <row r="438" spans="2:11" x14ac:dyDescent="0.35">
      <c r="B438" s="53" t="s">
        <v>22</v>
      </c>
      <c r="C438" s="53"/>
      <c r="D438" s="53" t="s">
        <v>29</v>
      </c>
      <c r="E438" s="53" t="str">
        <f>E402</f>
        <v>2025/2026</v>
      </c>
      <c r="F438" s="52"/>
      <c r="G438" s="53" t="s">
        <v>22</v>
      </c>
      <c r="H438" s="53"/>
      <c r="I438" s="53" t="s">
        <v>29</v>
      </c>
      <c r="J438" s="53" t="str">
        <f>E438</f>
        <v>2025/2026</v>
      </c>
      <c r="K438" s="52"/>
    </row>
    <row r="439" spans="2:11" x14ac:dyDescent="0.35">
      <c r="B439" s="53" t="s">
        <v>23</v>
      </c>
      <c r="C439" s="53"/>
      <c r="D439" s="53"/>
      <c r="E439" s="53"/>
      <c r="F439" s="52"/>
      <c r="G439" s="53" t="s">
        <v>23</v>
      </c>
      <c r="H439" s="53"/>
      <c r="I439" s="53"/>
      <c r="J439" s="53"/>
      <c r="K439" s="52"/>
    </row>
    <row r="440" spans="2:11" x14ac:dyDescent="0.35">
      <c r="B440" s="53" t="s">
        <v>24</v>
      </c>
      <c r="C440" s="53"/>
      <c r="D440" s="53" t="s">
        <v>41</v>
      </c>
      <c r="E440" s="53" t="str">
        <f>E404</f>
        <v>P1-A</v>
      </c>
      <c r="F440" s="52"/>
      <c r="G440" s="53" t="s">
        <v>24</v>
      </c>
      <c r="H440" s="53"/>
      <c r="I440" s="53" t="s">
        <v>41</v>
      </c>
      <c r="J440" s="53" t="str">
        <f>E440</f>
        <v>P1-A</v>
      </c>
      <c r="K440" s="52"/>
    </row>
    <row r="441" spans="2:11" x14ac:dyDescent="0.35">
      <c r="B441" s="53" t="s">
        <v>25</v>
      </c>
      <c r="C441" s="53"/>
      <c r="D441" s="53"/>
      <c r="E441" s="52"/>
      <c r="F441" s="52"/>
      <c r="G441" s="53" t="s">
        <v>25</v>
      </c>
      <c r="H441" s="53"/>
      <c r="I441" s="53"/>
      <c r="J441" s="52"/>
      <c r="K441" s="52"/>
    </row>
    <row r="442" spans="2:11" x14ac:dyDescent="0.35">
      <c r="B442" s="53" t="s">
        <v>26</v>
      </c>
      <c r="C442" s="53"/>
      <c r="D442" s="53"/>
      <c r="E442" s="53"/>
      <c r="F442" s="52"/>
      <c r="G442" s="53" t="s">
        <v>26</v>
      </c>
      <c r="H442" s="53"/>
      <c r="I442" s="53"/>
      <c r="J442" s="53"/>
      <c r="K442" s="52"/>
    </row>
    <row r="443" spans="2:11" x14ac:dyDescent="0.35">
      <c r="B443" s="53" t="s">
        <v>9</v>
      </c>
      <c r="C443" s="53"/>
      <c r="D443" s="53" t="s">
        <v>12</v>
      </c>
      <c r="E443" s="53" t="str">
        <f>E407</f>
        <v xml:space="preserve"> INFERIEUR</v>
      </c>
      <c r="F443" s="52"/>
      <c r="G443" s="53" t="s">
        <v>9</v>
      </c>
      <c r="H443" s="53"/>
      <c r="I443" s="53" t="s">
        <v>12</v>
      </c>
      <c r="J443" s="53" t="str">
        <f>E443</f>
        <v xml:space="preserve"> INFERIEUR</v>
      </c>
      <c r="K443" s="52"/>
    </row>
    <row r="444" spans="2:11" x14ac:dyDescent="0.35">
      <c r="B444" s="53" t="s">
        <v>10</v>
      </c>
      <c r="C444" s="53"/>
      <c r="D444" s="53"/>
      <c r="E444" s="53"/>
      <c r="F444" s="52"/>
      <c r="G444" s="53" t="s">
        <v>10</v>
      </c>
      <c r="H444" s="53"/>
      <c r="I444" s="53"/>
      <c r="J444" s="53"/>
      <c r="K444" s="52"/>
    </row>
    <row r="445" spans="2:11" x14ac:dyDescent="0.35">
      <c r="B445" s="53" t="s">
        <v>27</v>
      </c>
      <c r="C445" s="53"/>
      <c r="D445" s="53"/>
      <c r="E445" s="53"/>
      <c r="F445" s="52"/>
      <c r="G445" s="53" t="s">
        <v>27</v>
      </c>
      <c r="H445" s="53"/>
      <c r="I445" s="53"/>
      <c r="J445" s="53"/>
      <c r="K445" s="52"/>
    </row>
    <row r="446" spans="2:11" ht="15" thickBot="1" x14ac:dyDescent="0.4">
      <c r="B446" s="53"/>
      <c r="C446" s="54"/>
      <c r="D446" s="54"/>
      <c r="E446" s="54"/>
      <c r="F446" s="52"/>
      <c r="G446" s="53"/>
      <c r="H446" s="54"/>
      <c r="I446" s="54"/>
      <c r="J446" s="54"/>
      <c r="K446" s="52"/>
    </row>
    <row r="447" spans="2:11" ht="15.5" thickTop="1" thickBot="1" x14ac:dyDescent="0.4">
      <c r="B447" s="53"/>
      <c r="C447" s="23" t="s">
        <v>42</v>
      </c>
      <c r="D447" s="23"/>
      <c r="E447" s="53"/>
      <c r="F447" s="52"/>
      <c r="G447" s="53"/>
      <c r="H447" s="23" t="s">
        <v>42</v>
      </c>
      <c r="I447" s="23"/>
      <c r="J447" s="53"/>
      <c r="K447" s="52"/>
    </row>
    <row r="448" spans="2:11" ht="15.5" thickTop="1" thickBot="1" x14ac:dyDescent="0.4">
      <c r="B448" s="53" t="s">
        <v>40</v>
      </c>
      <c r="C448" s="123" t="str">
        <f>Summary!C32</f>
        <v>MUHIRWA Junior</v>
      </c>
      <c r="D448" s="123"/>
      <c r="E448" s="55"/>
      <c r="F448" s="52"/>
      <c r="G448" s="53" t="s">
        <v>40</v>
      </c>
      <c r="H448" s="123" t="str">
        <f>Summary!C33</f>
        <v>MURAME  Saint Liam</v>
      </c>
      <c r="I448" s="123"/>
      <c r="J448" s="55"/>
      <c r="K448" s="52"/>
    </row>
    <row r="449" spans="2:11" ht="15" thickTop="1" x14ac:dyDescent="0.35">
      <c r="B449" s="124" t="s">
        <v>43</v>
      </c>
      <c r="C449" s="126" t="s">
        <v>37</v>
      </c>
      <c r="D449" s="127"/>
      <c r="E449" s="56"/>
      <c r="F449" s="52"/>
      <c r="G449" s="124" t="s">
        <v>43</v>
      </c>
      <c r="H449" s="126" t="s">
        <v>37</v>
      </c>
      <c r="I449" s="127"/>
      <c r="J449" s="56"/>
      <c r="K449" s="52"/>
    </row>
    <row r="450" spans="2:11" ht="15" thickBot="1" x14ac:dyDescent="0.4">
      <c r="B450" s="125"/>
      <c r="C450" s="57" t="s">
        <v>39</v>
      </c>
      <c r="D450" s="58" t="s">
        <v>38</v>
      </c>
      <c r="E450" s="54"/>
      <c r="F450" s="52"/>
      <c r="G450" s="125"/>
      <c r="H450" s="57" t="s">
        <v>39</v>
      </c>
      <c r="I450" s="58" t="s">
        <v>38</v>
      </c>
      <c r="J450" s="54"/>
      <c r="K450" s="52"/>
    </row>
    <row r="451" spans="2:11" ht="15" thickTop="1" x14ac:dyDescent="0.35">
      <c r="B451" s="59" t="s">
        <v>15</v>
      </c>
      <c r="C451" s="60">
        <f t="shared" ref="C451:C456" si="23">C415</f>
        <v>60</v>
      </c>
      <c r="D451" s="61">
        <f>Summary!E32</f>
        <v>12</v>
      </c>
      <c r="E451" s="54"/>
      <c r="F451" s="52"/>
      <c r="G451" s="59" t="s">
        <v>15</v>
      </c>
      <c r="H451" s="60">
        <f t="shared" ref="H451:H456" si="24">C451</f>
        <v>60</v>
      </c>
      <c r="I451" s="61">
        <f>Summary!E33</f>
        <v>40</v>
      </c>
      <c r="J451" s="54"/>
      <c r="K451" s="52"/>
    </row>
    <row r="452" spans="2:11" x14ac:dyDescent="0.35">
      <c r="B452" s="59" t="s">
        <v>30</v>
      </c>
      <c r="C452" s="60">
        <f t="shared" si="23"/>
        <v>30</v>
      </c>
      <c r="D452" s="61">
        <f>Summary!G32</f>
        <v>5</v>
      </c>
      <c r="E452" s="54"/>
      <c r="F452" s="52"/>
      <c r="G452" s="59" t="s">
        <v>30</v>
      </c>
      <c r="H452" s="60">
        <f t="shared" si="24"/>
        <v>30</v>
      </c>
      <c r="I452" s="61">
        <f>Summary!G33</f>
        <v>17</v>
      </c>
      <c r="J452" s="54"/>
      <c r="K452" s="52"/>
    </row>
    <row r="453" spans="2:11" x14ac:dyDescent="0.35">
      <c r="B453" s="59" t="s">
        <v>4</v>
      </c>
      <c r="C453" s="60">
        <f t="shared" si="23"/>
        <v>80</v>
      </c>
      <c r="D453" s="61">
        <f>Summary!I32</f>
        <v>12</v>
      </c>
      <c r="E453" s="54"/>
      <c r="F453" s="52"/>
      <c r="G453" s="59" t="s">
        <v>4</v>
      </c>
      <c r="H453" s="60">
        <f t="shared" si="24"/>
        <v>80</v>
      </c>
      <c r="I453" s="61">
        <f>Summary!I33</f>
        <v>58</v>
      </c>
      <c r="J453" s="54"/>
      <c r="K453" s="52"/>
    </row>
    <row r="454" spans="2:11" x14ac:dyDescent="0.35">
      <c r="B454" s="62" t="s">
        <v>5</v>
      </c>
      <c r="C454" s="60">
        <f t="shared" si="23"/>
        <v>80</v>
      </c>
      <c r="D454" s="61">
        <f>Summary!K32</f>
        <v>30</v>
      </c>
      <c r="E454" s="54"/>
      <c r="F454" s="52"/>
      <c r="G454" s="62" t="s">
        <v>5</v>
      </c>
      <c r="H454" s="60">
        <f t="shared" si="24"/>
        <v>80</v>
      </c>
      <c r="I454" s="61">
        <f>Summary!K33</f>
        <v>60</v>
      </c>
      <c r="J454" s="54"/>
      <c r="K454" s="52"/>
    </row>
    <row r="455" spans="2:11" x14ac:dyDescent="0.35">
      <c r="B455" s="62" t="s">
        <v>17</v>
      </c>
      <c r="C455" s="60">
        <f t="shared" si="23"/>
        <v>30</v>
      </c>
      <c r="D455" s="61">
        <f>Summary!M32</f>
        <v>12</v>
      </c>
      <c r="E455" s="54"/>
      <c r="F455" s="52"/>
      <c r="G455" s="62" t="s">
        <v>17</v>
      </c>
      <c r="H455" s="60">
        <f t="shared" si="24"/>
        <v>30</v>
      </c>
      <c r="I455" s="61">
        <f>Summary!M33</f>
        <v>19</v>
      </c>
      <c r="J455" s="54"/>
      <c r="K455" s="52"/>
    </row>
    <row r="456" spans="2:11" ht="15" thickBot="1" x14ac:dyDescent="0.4">
      <c r="B456" s="62" t="s">
        <v>46</v>
      </c>
      <c r="C456" s="60">
        <f t="shared" si="23"/>
        <v>80</v>
      </c>
      <c r="D456" s="61">
        <f>Summary!O32</f>
        <v>10</v>
      </c>
      <c r="E456" s="54"/>
      <c r="F456" s="52"/>
      <c r="G456" s="62" t="s">
        <v>46</v>
      </c>
      <c r="H456" s="60">
        <f t="shared" si="24"/>
        <v>80</v>
      </c>
      <c r="I456" s="61">
        <f>Summary!O33</f>
        <v>42</v>
      </c>
      <c r="J456" s="54"/>
      <c r="K456" s="52"/>
    </row>
    <row r="457" spans="2:11" ht="15.5" thickTop="1" thickBot="1" x14ac:dyDescent="0.4">
      <c r="B457" s="63" t="s">
        <v>11</v>
      </c>
      <c r="C457" s="64">
        <f>SUM(C451:C456)</f>
        <v>360</v>
      </c>
      <c r="D457" s="65">
        <f>SUM(D451:D456)</f>
        <v>81</v>
      </c>
      <c r="E457" s="54"/>
      <c r="F457" s="52"/>
      <c r="G457" s="63" t="s">
        <v>11</v>
      </c>
      <c r="H457" s="64">
        <f>SUM(H451:H456)</f>
        <v>360</v>
      </c>
      <c r="I457" s="65">
        <f>SUM(I451:I456)</f>
        <v>236</v>
      </c>
      <c r="J457" s="54"/>
      <c r="K457" s="52"/>
    </row>
    <row r="458" spans="2:11" ht="15.5" thickTop="1" thickBot="1" x14ac:dyDescent="0.4">
      <c r="B458" s="66" t="s">
        <v>32</v>
      </c>
      <c r="C458" s="128">
        <f>D457/C457</f>
        <v>0.22500000000000001</v>
      </c>
      <c r="D458" s="129"/>
      <c r="E458" s="54"/>
      <c r="F458" s="52"/>
      <c r="G458" s="66" t="s">
        <v>32</v>
      </c>
      <c r="H458" s="128">
        <f>I457/H457</f>
        <v>0.65555555555555556</v>
      </c>
      <c r="I458" s="129"/>
      <c r="J458" s="54"/>
      <c r="K458" s="52"/>
    </row>
    <row r="459" spans="2:11" ht="15.5" thickTop="1" thickBot="1" x14ac:dyDescent="0.4">
      <c r="B459" s="63" t="s">
        <v>21</v>
      </c>
      <c r="C459" s="83">
        <f>Summary!S32</f>
        <v>44</v>
      </c>
      <c r="D459" s="81">
        <f>Summary!S7</f>
        <v>44</v>
      </c>
      <c r="E459" s="54"/>
      <c r="F459" s="52"/>
      <c r="G459" s="63" t="s">
        <v>21</v>
      </c>
      <c r="H459" s="83">
        <f>Summary!S33</f>
        <v>38</v>
      </c>
      <c r="I459" s="81">
        <f>Summary!S7</f>
        <v>44</v>
      </c>
      <c r="J459" s="54"/>
      <c r="K459" s="52"/>
    </row>
    <row r="460" spans="2:11" ht="30" thickTop="1" thickBot="1" x14ac:dyDescent="0.4">
      <c r="B460" s="67" t="s">
        <v>33</v>
      </c>
      <c r="C460" s="134"/>
      <c r="D460" s="135"/>
      <c r="E460" s="54"/>
      <c r="F460" s="52"/>
      <c r="G460" s="67" t="s">
        <v>33</v>
      </c>
      <c r="H460" s="134"/>
      <c r="I460" s="135"/>
      <c r="J460" s="54"/>
      <c r="K460" s="52"/>
    </row>
    <row r="461" spans="2:11" ht="30" thickTop="1" thickBot="1" x14ac:dyDescent="0.4">
      <c r="B461" s="67" t="s">
        <v>34</v>
      </c>
      <c r="C461" s="131"/>
      <c r="D461" s="132"/>
      <c r="E461" s="54"/>
      <c r="F461" s="52"/>
      <c r="G461" s="67" t="s">
        <v>34</v>
      </c>
      <c r="H461" s="131"/>
      <c r="I461" s="132"/>
      <c r="J461" s="54"/>
      <c r="K461" s="52"/>
    </row>
    <row r="462" spans="2:11" ht="15" thickTop="1" x14ac:dyDescent="0.35">
      <c r="B462" s="50"/>
      <c r="C462" s="51"/>
      <c r="D462" s="51"/>
      <c r="E462" s="51"/>
      <c r="F462" s="52"/>
      <c r="G462" s="50"/>
      <c r="H462" s="51"/>
      <c r="I462" s="51"/>
      <c r="J462" s="51"/>
      <c r="K462" s="52"/>
    </row>
    <row r="463" spans="2:11" x14ac:dyDescent="0.35">
      <c r="B463" s="130" t="s">
        <v>35</v>
      </c>
      <c r="C463" s="130"/>
      <c r="D463" s="52"/>
      <c r="E463" s="52"/>
      <c r="F463" s="52"/>
      <c r="G463" s="130" t="s">
        <v>35</v>
      </c>
      <c r="H463" s="130"/>
      <c r="I463" s="52"/>
      <c r="J463" s="52"/>
      <c r="K463" s="52"/>
    </row>
    <row r="464" spans="2:11" x14ac:dyDescent="0.35">
      <c r="B464" s="68" t="s">
        <v>36</v>
      </c>
      <c r="C464" s="69">
        <f>C428</f>
        <v>45975</v>
      </c>
      <c r="D464" s="52"/>
      <c r="E464" s="52"/>
      <c r="F464" s="52"/>
      <c r="G464" s="68" t="s">
        <v>36</v>
      </c>
      <c r="H464" s="69">
        <f>H428</f>
        <v>45975</v>
      </c>
      <c r="I464" s="52"/>
      <c r="J464" s="52"/>
      <c r="K464" s="52"/>
    </row>
    <row r="465" spans="2:11" x14ac:dyDescent="0.35">
      <c r="B465" s="50"/>
      <c r="C465" s="51"/>
      <c r="D465" s="51"/>
      <c r="E465" s="51"/>
      <c r="F465" s="52"/>
      <c r="G465" s="50"/>
      <c r="H465" s="51"/>
      <c r="I465" s="51"/>
      <c r="J465" s="51"/>
      <c r="K465" s="52"/>
    </row>
    <row r="466" spans="2:11" x14ac:dyDescent="0.35">
      <c r="B466" s="50"/>
      <c r="C466" s="130"/>
      <c r="D466" s="130"/>
      <c r="E466" s="130"/>
      <c r="F466" s="130"/>
      <c r="G466" s="50"/>
      <c r="H466" s="130"/>
      <c r="I466" s="130"/>
      <c r="J466" s="130"/>
      <c r="K466" s="130"/>
    </row>
    <row r="467" spans="2:11" x14ac:dyDescent="0.35">
      <c r="B467" s="52"/>
      <c r="C467" s="130"/>
      <c r="D467" s="130"/>
      <c r="E467" s="130"/>
      <c r="F467" s="51"/>
      <c r="G467" s="52"/>
      <c r="H467" s="130"/>
      <c r="I467" s="130"/>
      <c r="J467" s="130"/>
      <c r="K467" s="51"/>
    </row>
    <row r="468" spans="2:11" x14ac:dyDescent="0.35">
      <c r="B468" s="52"/>
      <c r="C468" s="52"/>
      <c r="D468" s="52"/>
      <c r="E468" s="52"/>
      <c r="F468" s="52"/>
      <c r="G468" s="52"/>
      <c r="H468" s="52"/>
      <c r="I468" s="52"/>
      <c r="J468" s="52"/>
      <c r="K468" s="52"/>
    </row>
    <row r="469" spans="2:11" x14ac:dyDescent="0.35">
      <c r="B469" s="50"/>
      <c r="C469" s="51"/>
      <c r="D469" s="51"/>
      <c r="E469" s="51"/>
      <c r="F469" s="52"/>
      <c r="G469" s="50"/>
      <c r="H469" s="51"/>
      <c r="I469" s="51"/>
      <c r="J469" s="51"/>
      <c r="K469" s="52"/>
    </row>
    <row r="470" spans="2:11" x14ac:dyDescent="0.35">
      <c r="B470" s="50"/>
      <c r="C470" s="51"/>
      <c r="D470" s="51"/>
      <c r="E470" s="51"/>
      <c r="F470" s="52"/>
      <c r="G470" s="50"/>
      <c r="H470" s="51"/>
      <c r="I470" s="51"/>
      <c r="J470" s="51"/>
      <c r="K470" s="52"/>
    </row>
    <row r="471" spans="2:11" x14ac:dyDescent="0.35">
      <c r="B471" s="50"/>
      <c r="C471" s="51"/>
      <c r="D471" s="51"/>
      <c r="E471" s="51"/>
      <c r="F471" s="52"/>
      <c r="G471" s="50"/>
      <c r="H471" s="51"/>
      <c r="I471" s="51"/>
      <c r="J471" s="51"/>
      <c r="K471" s="52"/>
    </row>
    <row r="472" spans="2:11" x14ac:dyDescent="0.35">
      <c r="B472" s="50"/>
      <c r="C472" s="51"/>
      <c r="D472" s="51"/>
      <c r="E472" s="51"/>
      <c r="F472" s="52"/>
      <c r="G472" s="50"/>
      <c r="H472" s="51"/>
      <c r="I472" s="51"/>
      <c r="J472" s="51"/>
      <c r="K472" s="52"/>
    </row>
    <row r="473" spans="2:11" x14ac:dyDescent="0.35">
      <c r="B473" s="50"/>
      <c r="C473" s="51"/>
      <c r="D473" s="51"/>
      <c r="E473" s="51"/>
      <c r="F473" s="52"/>
      <c r="G473" s="50"/>
      <c r="H473" s="51"/>
      <c r="I473" s="51"/>
      <c r="J473" s="51"/>
      <c r="K473" s="52"/>
    </row>
    <row r="474" spans="2:11" x14ac:dyDescent="0.35">
      <c r="B474" s="53" t="s">
        <v>22</v>
      </c>
      <c r="C474" s="53"/>
      <c r="D474" s="53" t="s">
        <v>29</v>
      </c>
      <c r="E474" s="53" t="str">
        <f>E438</f>
        <v>2025/2026</v>
      </c>
      <c r="F474" s="52"/>
      <c r="G474" s="53" t="s">
        <v>22</v>
      </c>
      <c r="H474" s="53"/>
      <c r="I474" s="53" t="s">
        <v>29</v>
      </c>
      <c r="J474" s="53" t="str">
        <f>E474</f>
        <v>2025/2026</v>
      </c>
      <c r="K474" s="52"/>
    </row>
    <row r="475" spans="2:11" x14ac:dyDescent="0.35">
      <c r="B475" s="53" t="s">
        <v>23</v>
      </c>
      <c r="C475" s="53"/>
      <c r="D475" s="53"/>
      <c r="E475" s="53"/>
      <c r="F475" s="52"/>
      <c r="G475" s="53" t="s">
        <v>23</v>
      </c>
      <c r="H475" s="53"/>
      <c r="I475" s="53"/>
      <c r="J475" s="53"/>
      <c r="K475" s="52"/>
    </row>
    <row r="476" spans="2:11" x14ac:dyDescent="0.35">
      <c r="B476" s="53" t="s">
        <v>24</v>
      </c>
      <c r="C476" s="53"/>
      <c r="D476" s="53" t="s">
        <v>41</v>
      </c>
      <c r="E476" s="53" t="str">
        <f>E440</f>
        <v>P1-A</v>
      </c>
      <c r="F476" s="52"/>
      <c r="G476" s="53" t="s">
        <v>24</v>
      </c>
      <c r="H476" s="53"/>
      <c r="I476" s="53" t="s">
        <v>41</v>
      </c>
      <c r="J476" s="53" t="str">
        <f>E476</f>
        <v>P1-A</v>
      </c>
      <c r="K476" s="52"/>
    </row>
    <row r="477" spans="2:11" x14ac:dyDescent="0.35">
      <c r="B477" s="53" t="s">
        <v>25</v>
      </c>
      <c r="C477" s="53"/>
      <c r="D477" s="53"/>
      <c r="E477" s="52"/>
      <c r="F477" s="52"/>
      <c r="G477" s="53" t="s">
        <v>25</v>
      </c>
      <c r="H477" s="53"/>
      <c r="I477" s="53"/>
      <c r="J477" s="52"/>
      <c r="K477" s="52"/>
    </row>
    <row r="478" spans="2:11" x14ac:dyDescent="0.35">
      <c r="B478" s="53" t="s">
        <v>26</v>
      </c>
      <c r="C478" s="53"/>
      <c r="D478" s="53"/>
      <c r="E478" s="53"/>
      <c r="F478" s="52"/>
      <c r="G478" s="53" t="s">
        <v>26</v>
      </c>
      <c r="H478" s="53"/>
      <c r="I478" s="53"/>
      <c r="J478" s="53"/>
      <c r="K478" s="52"/>
    </row>
    <row r="479" spans="2:11" x14ac:dyDescent="0.35">
      <c r="B479" s="53" t="s">
        <v>9</v>
      </c>
      <c r="C479" s="53"/>
      <c r="D479" s="53" t="s">
        <v>12</v>
      </c>
      <c r="E479" s="53" t="str">
        <f>E443</f>
        <v xml:space="preserve"> INFERIEUR</v>
      </c>
      <c r="F479" s="52"/>
      <c r="G479" s="53" t="s">
        <v>9</v>
      </c>
      <c r="H479" s="53"/>
      <c r="I479" s="53" t="s">
        <v>12</v>
      </c>
      <c r="J479" s="53" t="str">
        <f>E479</f>
        <v xml:space="preserve"> INFERIEUR</v>
      </c>
      <c r="K479" s="52"/>
    </row>
    <row r="480" spans="2:11" x14ac:dyDescent="0.35">
      <c r="B480" s="53" t="s">
        <v>10</v>
      </c>
      <c r="C480" s="53"/>
      <c r="D480" s="53"/>
      <c r="E480" s="53"/>
      <c r="F480" s="52"/>
      <c r="G480" s="53" t="s">
        <v>10</v>
      </c>
      <c r="H480" s="53"/>
      <c r="I480" s="53"/>
      <c r="J480" s="53"/>
      <c r="K480" s="52"/>
    </row>
    <row r="481" spans="2:11" x14ac:dyDescent="0.35">
      <c r="B481" s="53" t="s">
        <v>27</v>
      </c>
      <c r="C481" s="53"/>
      <c r="D481" s="53"/>
      <c r="E481" s="53"/>
      <c r="F481" s="52"/>
      <c r="G481" s="53" t="s">
        <v>27</v>
      </c>
      <c r="H481" s="53"/>
      <c r="I481" s="53"/>
      <c r="J481" s="53"/>
      <c r="K481" s="52"/>
    </row>
    <row r="482" spans="2:11" ht="15" thickBot="1" x14ac:dyDescent="0.4">
      <c r="B482" s="53"/>
      <c r="C482" s="54"/>
      <c r="D482" s="54"/>
      <c r="E482" s="54"/>
      <c r="F482" s="52"/>
      <c r="G482" s="53"/>
      <c r="H482" s="54"/>
      <c r="I482" s="54"/>
      <c r="J482" s="54"/>
      <c r="K482" s="52"/>
    </row>
    <row r="483" spans="2:11" ht="15.5" thickTop="1" thickBot="1" x14ac:dyDescent="0.4">
      <c r="B483" s="53"/>
      <c r="C483" s="23" t="s">
        <v>42</v>
      </c>
      <c r="D483" s="23"/>
      <c r="E483" s="53"/>
      <c r="F483" s="52"/>
      <c r="G483" s="53"/>
      <c r="H483" s="23" t="s">
        <v>42</v>
      </c>
      <c r="I483" s="23"/>
      <c r="J483" s="53"/>
      <c r="K483" s="52"/>
    </row>
    <row r="484" spans="2:11" ht="15.5" thickTop="1" thickBot="1" x14ac:dyDescent="0.4">
      <c r="B484" s="53" t="s">
        <v>40</v>
      </c>
      <c r="C484" s="86" t="str">
        <f>Summary!C34</f>
        <v>MURENZI  Calvin</v>
      </c>
      <c r="D484" s="86"/>
      <c r="E484" s="55"/>
      <c r="F484" s="52"/>
      <c r="G484" s="53" t="s">
        <v>40</v>
      </c>
      <c r="H484" s="86" t="str">
        <f>Summary!C35</f>
        <v>MURENZI  Galvin</v>
      </c>
      <c r="I484" s="86"/>
      <c r="J484" s="55"/>
      <c r="K484" s="52"/>
    </row>
    <row r="485" spans="2:11" ht="15" thickTop="1" x14ac:dyDescent="0.35">
      <c r="B485" s="124" t="s">
        <v>43</v>
      </c>
      <c r="C485" s="126" t="s">
        <v>37</v>
      </c>
      <c r="D485" s="127"/>
      <c r="E485" s="56"/>
      <c r="F485" s="52"/>
      <c r="G485" s="124" t="s">
        <v>43</v>
      </c>
      <c r="H485" s="126" t="s">
        <v>37</v>
      </c>
      <c r="I485" s="127"/>
      <c r="J485" s="56"/>
      <c r="K485" s="52"/>
    </row>
    <row r="486" spans="2:11" ht="15" thickBot="1" x14ac:dyDescent="0.4">
      <c r="B486" s="125"/>
      <c r="C486" s="57" t="s">
        <v>39</v>
      </c>
      <c r="D486" s="58" t="s">
        <v>38</v>
      </c>
      <c r="E486" s="54"/>
      <c r="F486" s="52"/>
      <c r="G486" s="125"/>
      <c r="H486" s="57" t="s">
        <v>39</v>
      </c>
      <c r="I486" s="58" t="s">
        <v>38</v>
      </c>
      <c r="J486" s="54"/>
      <c r="K486" s="52"/>
    </row>
    <row r="487" spans="2:11" ht="15" thickTop="1" x14ac:dyDescent="0.35">
      <c r="B487" s="59" t="s">
        <v>15</v>
      </c>
      <c r="C487" s="60">
        <f t="shared" ref="C487:C492" si="25">C451</f>
        <v>60</v>
      </c>
      <c r="D487" s="61">
        <f>Summary!E34</f>
        <v>56</v>
      </c>
      <c r="E487" s="54"/>
      <c r="F487" s="52"/>
      <c r="G487" s="59" t="s">
        <v>15</v>
      </c>
      <c r="H487" s="60">
        <f t="shared" ref="H487:H492" si="26">C487</f>
        <v>60</v>
      </c>
      <c r="I487" s="61">
        <f>Summary!E35</f>
        <v>56</v>
      </c>
      <c r="J487" s="54"/>
      <c r="K487" s="52"/>
    </row>
    <row r="488" spans="2:11" x14ac:dyDescent="0.35">
      <c r="B488" s="59" t="s">
        <v>30</v>
      </c>
      <c r="C488" s="60">
        <f t="shared" si="25"/>
        <v>30</v>
      </c>
      <c r="D488" s="61">
        <f>Summary!G34</f>
        <v>26</v>
      </c>
      <c r="E488" s="54"/>
      <c r="F488" s="52"/>
      <c r="G488" s="59" t="s">
        <v>30</v>
      </c>
      <c r="H488" s="60">
        <f t="shared" si="26"/>
        <v>30</v>
      </c>
      <c r="I488" s="61">
        <f>Summary!G35</f>
        <v>28</v>
      </c>
      <c r="J488" s="54"/>
      <c r="K488" s="52"/>
    </row>
    <row r="489" spans="2:11" x14ac:dyDescent="0.35">
      <c r="B489" s="59" t="s">
        <v>4</v>
      </c>
      <c r="C489" s="60">
        <f t="shared" si="25"/>
        <v>80</v>
      </c>
      <c r="D489" s="61">
        <f>Summary!I34</f>
        <v>72</v>
      </c>
      <c r="E489" s="54"/>
      <c r="F489" s="52"/>
      <c r="G489" s="59" t="s">
        <v>4</v>
      </c>
      <c r="H489" s="60">
        <f t="shared" si="26"/>
        <v>80</v>
      </c>
      <c r="I489" s="61">
        <f>Summary!I35</f>
        <v>80</v>
      </c>
      <c r="J489" s="54"/>
      <c r="K489" s="52"/>
    </row>
    <row r="490" spans="2:11" x14ac:dyDescent="0.35">
      <c r="B490" s="62" t="s">
        <v>5</v>
      </c>
      <c r="C490" s="60">
        <f t="shared" si="25"/>
        <v>80</v>
      </c>
      <c r="D490" s="61">
        <f>Summary!K34</f>
        <v>80</v>
      </c>
      <c r="E490" s="54"/>
      <c r="F490" s="52"/>
      <c r="G490" s="62" t="s">
        <v>5</v>
      </c>
      <c r="H490" s="60">
        <f t="shared" si="26"/>
        <v>80</v>
      </c>
      <c r="I490" s="61">
        <f>Summary!K35</f>
        <v>80</v>
      </c>
      <c r="J490" s="54"/>
      <c r="K490" s="52"/>
    </row>
    <row r="491" spans="2:11" x14ac:dyDescent="0.35">
      <c r="B491" s="62" t="s">
        <v>17</v>
      </c>
      <c r="C491" s="60">
        <f t="shared" si="25"/>
        <v>30</v>
      </c>
      <c r="D491" s="61">
        <f>Summary!M34</f>
        <v>22</v>
      </c>
      <c r="E491" s="54"/>
      <c r="F491" s="52"/>
      <c r="G491" s="62" t="s">
        <v>17</v>
      </c>
      <c r="H491" s="60">
        <f t="shared" si="26"/>
        <v>30</v>
      </c>
      <c r="I491" s="61">
        <f>Summary!M35</f>
        <v>29</v>
      </c>
      <c r="J491" s="54"/>
      <c r="K491" s="52"/>
    </row>
    <row r="492" spans="2:11" ht="15" thickBot="1" x14ac:dyDescent="0.4">
      <c r="B492" s="62" t="s">
        <v>46</v>
      </c>
      <c r="C492" s="60">
        <f t="shared" si="25"/>
        <v>80</v>
      </c>
      <c r="D492" s="61">
        <f>Summary!O34</f>
        <v>70</v>
      </c>
      <c r="E492" s="54"/>
      <c r="F492" s="52"/>
      <c r="G492" s="62" t="s">
        <v>46</v>
      </c>
      <c r="H492" s="60">
        <f t="shared" si="26"/>
        <v>80</v>
      </c>
      <c r="I492" s="61">
        <f>Summary!O35</f>
        <v>80</v>
      </c>
      <c r="J492" s="54"/>
      <c r="K492" s="52"/>
    </row>
    <row r="493" spans="2:11" ht="15.5" thickTop="1" thickBot="1" x14ac:dyDescent="0.4">
      <c r="B493" s="63" t="s">
        <v>11</v>
      </c>
      <c r="C493" s="64">
        <f>SUM(C487:C492)</f>
        <v>360</v>
      </c>
      <c r="D493" s="65">
        <f>SUM(D487:D492)</f>
        <v>326</v>
      </c>
      <c r="E493" s="54"/>
      <c r="F493" s="52"/>
      <c r="G493" s="63" t="s">
        <v>11</v>
      </c>
      <c r="H493" s="64">
        <f>SUM(H487:H492)</f>
        <v>360</v>
      </c>
      <c r="I493" s="65">
        <f>SUM(I487:I492)</f>
        <v>353</v>
      </c>
      <c r="J493" s="54"/>
      <c r="K493" s="52"/>
    </row>
    <row r="494" spans="2:11" ht="15.5" thickTop="1" thickBot="1" x14ac:dyDescent="0.4">
      <c r="B494" s="66" t="s">
        <v>32</v>
      </c>
      <c r="C494" s="128">
        <f>D493/C493</f>
        <v>0.90555555555555556</v>
      </c>
      <c r="D494" s="129"/>
      <c r="E494" s="54"/>
      <c r="F494" s="52"/>
      <c r="G494" s="66" t="s">
        <v>32</v>
      </c>
      <c r="H494" s="128">
        <f>I493/H493</f>
        <v>0.98055555555555551</v>
      </c>
      <c r="I494" s="129"/>
      <c r="J494" s="54"/>
      <c r="K494" s="52"/>
    </row>
    <row r="495" spans="2:11" ht="15.5" thickTop="1" thickBot="1" x14ac:dyDescent="0.4">
      <c r="B495" s="63" t="s">
        <v>21</v>
      </c>
      <c r="C495" s="83">
        <f>Summary!S34</f>
        <v>16</v>
      </c>
      <c r="D495" s="81">
        <f>Summary!S7</f>
        <v>44</v>
      </c>
      <c r="E495" s="54"/>
      <c r="F495" s="52"/>
      <c r="G495" s="63" t="s">
        <v>21</v>
      </c>
      <c r="H495" s="83">
        <f>Summary!S35</f>
        <v>5</v>
      </c>
      <c r="I495" s="81">
        <f>Summary!S7</f>
        <v>44</v>
      </c>
      <c r="J495" s="54"/>
      <c r="K495" s="52"/>
    </row>
    <row r="496" spans="2:11" ht="30" thickTop="1" thickBot="1" x14ac:dyDescent="0.4">
      <c r="B496" s="67" t="s">
        <v>33</v>
      </c>
      <c r="C496" s="134"/>
      <c r="D496" s="135"/>
      <c r="E496" s="54"/>
      <c r="F496" s="52"/>
      <c r="G496" s="67" t="s">
        <v>33</v>
      </c>
      <c r="H496" s="134"/>
      <c r="I496" s="135"/>
      <c r="J496" s="54"/>
      <c r="K496" s="52"/>
    </row>
    <row r="497" spans="2:11" ht="30" thickTop="1" thickBot="1" x14ac:dyDescent="0.4">
      <c r="B497" s="67" t="s">
        <v>34</v>
      </c>
      <c r="C497" s="131"/>
      <c r="D497" s="132"/>
      <c r="E497" s="54"/>
      <c r="F497" s="52"/>
      <c r="G497" s="67" t="s">
        <v>34</v>
      </c>
      <c r="H497" s="131"/>
      <c r="I497" s="132"/>
      <c r="J497" s="54"/>
      <c r="K497" s="52"/>
    </row>
    <row r="498" spans="2:11" ht="15" thickTop="1" x14ac:dyDescent="0.35">
      <c r="B498" s="50"/>
      <c r="C498" s="51"/>
      <c r="D498" s="51"/>
      <c r="E498" s="51"/>
      <c r="F498" s="52"/>
      <c r="G498" s="50"/>
      <c r="H498" s="51"/>
      <c r="I498" s="51"/>
      <c r="J498" s="51"/>
      <c r="K498" s="52"/>
    </row>
    <row r="499" spans="2:11" x14ac:dyDescent="0.35">
      <c r="B499" s="130" t="s">
        <v>35</v>
      </c>
      <c r="C499" s="130"/>
      <c r="D499" s="52"/>
      <c r="E499" s="52"/>
      <c r="F499" s="52"/>
      <c r="G499" s="130" t="s">
        <v>35</v>
      </c>
      <c r="H499" s="130"/>
      <c r="I499" s="52"/>
      <c r="J499" s="52"/>
      <c r="K499" s="52"/>
    </row>
    <row r="500" spans="2:11" x14ac:dyDescent="0.35">
      <c r="B500" s="68" t="s">
        <v>36</v>
      </c>
      <c r="C500" s="69">
        <f>C464</f>
        <v>45975</v>
      </c>
      <c r="D500" s="52"/>
      <c r="E500" s="52"/>
      <c r="F500" s="52"/>
      <c r="G500" s="68" t="s">
        <v>36</v>
      </c>
      <c r="H500" s="69">
        <f>H464</f>
        <v>45975</v>
      </c>
      <c r="I500" s="52"/>
      <c r="J500" s="52"/>
      <c r="K500" s="52"/>
    </row>
    <row r="501" spans="2:11" x14ac:dyDescent="0.35">
      <c r="B501" s="50"/>
      <c r="C501" s="51"/>
      <c r="D501" s="51"/>
      <c r="E501" s="51"/>
      <c r="F501" s="52"/>
      <c r="G501" s="50"/>
      <c r="H501" s="51"/>
      <c r="I501" s="51"/>
      <c r="J501" s="51"/>
      <c r="K501" s="52"/>
    </row>
    <row r="502" spans="2:11" x14ac:dyDescent="0.35">
      <c r="B502" s="50"/>
      <c r="C502" s="130"/>
      <c r="D502" s="130"/>
      <c r="E502" s="130"/>
      <c r="F502" s="130"/>
      <c r="G502" s="50"/>
      <c r="H502" s="130"/>
      <c r="I502" s="130"/>
      <c r="J502" s="130"/>
      <c r="K502" s="130"/>
    </row>
    <row r="503" spans="2:11" x14ac:dyDescent="0.35">
      <c r="B503" s="52"/>
      <c r="C503" s="130"/>
      <c r="D503" s="130"/>
      <c r="E503" s="130"/>
      <c r="F503" s="51"/>
      <c r="G503" s="52"/>
      <c r="H503" s="130"/>
      <c r="I503" s="130"/>
      <c r="J503" s="130"/>
      <c r="K503" s="51"/>
    </row>
    <row r="504" spans="2:11" x14ac:dyDescent="0.35">
      <c r="B504" s="52"/>
      <c r="C504" s="52"/>
      <c r="D504" s="52"/>
      <c r="E504" s="52"/>
      <c r="F504" s="52"/>
      <c r="G504" s="52"/>
      <c r="H504" s="52"/>
      <c r="I504" s="52"/>
      <c r="J504" s="52"/>
      <c r="K504" s="52"/>
    </row>
    <row r="505" spans="2:11" x14ac:dyDescent="0.35">
      <c r="B505" s="50"/>
      <c r="C505" s="51"/>
      <c r="D505" s="51"/>
      <c r="E505" s="51"/>
      <c r="F505" s="52"/>
      <c r="G505" s="50"/>
      <c r="H505" s="51"/>
      <c r="I505" s="51"/>
      <c r="J505" s="51"/>
      <c r="K505" s="52"/>
    </row>
    <row r="506" spans="2:11" x14ac:dyDescent="0.35">
      <c r="B506" s="50"/>
      <c r="C506" s="51"/>
      <c r="D506" s="51"/>
      <c r="E506" s="51"/>
      <c r="F506" s="52"/>
      <c r="G506" s="50"/>
      <c r="H506" s="51"/>
      <c r="I506" s="51"/>
      <c r="J506" s="51"/>
      <c r="K506" s="52"/>
    </row>
    <row r="507" spans="2:11" x14ac:dyDescent="0.35">
      <c r="B507" s="50"/>
      <c r="C507" s="51"/>
      <c r="D507" s="51"/>
      <c r="E507" s="51"/>
      <c r="F507" s="52"/>
      <c r="G507" s="50"/>
      <c r="H507" s="51"/>
      <c r="I507" s="51"/>
      <c r="J507" s="51"/>
      <c r="K507" s="52"/>
    </row>
    <row r="508" spans="2:11" x14ac:dyDescent="0.35">
      <c r="B508" s="50"/>
      <c r="C508" s="51"/>
      <c r="D508" s="51"/>
      <c r="E508" s="51"/>
      <c r="F508" s="52"/>
      <c r="G508" s="50"/>
      <c r="H508" s="51"/>
      <c r="I508" s="51"/>
      <c r="J508" s="51"/>
      <c r="K508" s="52"/>
    </row>
    <row r="509" spans="2:11" x14ac:dyDescent="0.35">
      <c r="B509" s="50"/>
      <c r="C509" s="51"/>
      <c r="D509" s="51"/>
      <c r="E509" s="51"/>
      <c r="F509" s="52"/>
      <c r="G509" s="50"/>
      <c r="H509" s="51"/>
      <c r="I509" s="51"/>
      <c r="J509" s="51"/>
      <c r="K509" s="52"/>
    </row>
    <row r="510" spans="2:11" x14ac:dyDescent="0.35">
      <c r="B510" s="53" t="s">
        <v>22</v>
      </c>
      <c r="C510" s="53"/>
      <c r="D510" s="53" t="s">
        <v>29</v>
      </c>
      <c r="E510" s="53" t="str">
        <f>E474</f>
        <v>2025/2026</v>
      </c>
      <c r="F510" s="52"/>
      <c r="G510" s="53" t="s">
        <v>22</v>
      </c>
      <c r="H510" s="53"/>
      <c r="I510" s="53" t="s">
        <v>29</v>
      </c>
      <c r="J510" s="53" t="str">
        <f>E510</f>
        <v>2025/2026</v>
      </c>
      <c r="K510" s="52"/>
    </row>
    <row r="511" spans="2:11" x14ac:dyDescent="0.35">
      <c r="B511" s="53" t="s">
        <v>23</v>
      </c>
      <c r="C511" s="53"/>
      <c r="D511" s="53"/>
      <c r="E511" s="53"/>
      <c r="F511" s="52"/>
      <c r="G511" s="53" t="s">
        <v>23</v>
      </c>
      <c r="H511" s="53"/>
      <c r="I511" s="53"/>
      <c r="J511" s="53"/>
      <c r="K511" s="52"/>
    </row>
    <row r="512" spans="2:11" x14ac:dyDescent="0.35">
      <c r="B512" s="53" t="s">
        <v>24</v>
      </c>
      <c r="C512" s="53"/>
      <c r="D512" s="53" t="s">
        <v>41</v>
      </c>
      <c r="E512" s="53" t="str">
        <f>E476</f>
        <v>P1-A</v>
      </c>
      <c r="F512" s="52"/>
      <c r="G512" s="53" t="s">
        <v>24</v>
      </c>
      <c r="H512" s="53"/>
      <c r="I512" s="53" t="s">
        <v>41</v>
      </c>
      <c r="J512" s="53" t="str">
        <f>E512</f>
        <v>P1-A</v>
      </c>
      <c r="K512" s="52"/>
    </row>
    <row r="513" spans="2:11" x14ac:dyDescent="0.35">
      <c r="B513" s="53" t="s">
        <v>25</v>
      </c>
      <c r="C513" s="53"/>
      <c r="D513" s="53"/>
      <c r="E513" s="52"/>
      <c r="F513" s="52"/>
      <c r="G513" s="53" t="s">
        <v>25</v>
      </c>
      <c r="H513" s="53"/>
      <c r="I513" s="53"/>
      <c r="J513" s="52"/>
      <c r="K513" s="52"/>
    </row>
    <row r="514" spans="2:11" x14ac:dyDescent="0.35">
      <c r="B514" s="53" t="s">
        <v>26</v>
      </c>
      <c r="C514" s="53"/>
      <c r="D514" s="53"/>
      <c r="E514" s="53"/>
      <c r="F514" s="52"/>
      <c r="G514" s="53" t="s">
        <v>26</v>
      </c>
      <c r="H514" s="53"/>
      <c r="I514" s="53"/>
      <c r="J514" s="53"/>
      <c r="K514" s="52"/>
    </row>
    <row r="515" spans="2:11" x14ac:dyDescent="0.35">
      <c r="B515" s="53" t="s">
        <v>9</v>
      </c>
      <c r="C515" s="53"/>
      <c r="D515" s="53" t="s">
        <v>12</v>
      </c>
      <c r="E515" s="53" t="str">
        <f>E479</f>
        <v xml:space="preserve"> INFERIEUR</v>
      </c>
      <c r="F515" s="52"/>
      <c r="G515" s="53" t="s">
        <v>9</v>
      </c>
      <c r="H515" s="53"/>
      <c r="I515" s="53" t="s">
        <v>12</v>
      </c>
      <c r="J515" s="53" t="str">
        <f>E515</f>
        <v xml:space="preserve"> INFERIEUR</v>
      </c>
      <c r="K515" s="52"/>
    </row>
    <row r="516" spans="2:11" x14ac:dyDescent="0.35">
      <c r="B516" s="53" t="s">
        <v>10</v>
      </c>
      <c r="C516" s="53"/>
      <c r="D516" s="53"/>
      <c r="E516" s="53"/>
      <c r="F516" s="52"/>
      <c r="G516" s="53" t="s">
        <v>10</v>
      </c>
      <c r="H516" s="53"/>
      <c r="I516" s="53"/>
      <c r="J516" s="53"/>
      <c r="K516" s="52"/>
    </row>
    <row r="517" spans="2:11" x14ac:dyDescent="0.35">
      <c r="B517" s="53" t="s">
        <v>27</v>
      </c>
      <c r="C517" s="53"/>
      <c r="D517" s="53"/>
      <c r="E517" s="53"/>
      <c r="F517" s="52"/>
      <c r="G517" s="53" t="s">
        <v>27</v>
      </c>
      <c r="H517" s="53"/>
      <c r="I517" s="53"/>
      <c r="J517" s="53"/>
      <c r="K517" s="52"/>
    </row>
    <row r="518" spans="2:11" ht="15" thickBot="1" x14ac:dyDescent="0.4">
      <c r="B518" s="53"/>
      <c r="C518" s="54"/>
      <c r="D518" s="54"/>
      <c r="E518" s="54"/>
      <c r="F518" s="52"/>
      <c r="G518" s="53"/>
      <c r="H518" s="54"/>
      <c r="I518" s="54"/>
      <c r="J518" s="54"/>
      <c r="K518" s="52"/>
    </row>
    <row r="519" spans="2:11" ht="15.5" thickTop="1" thickBot="1" x14ac:dyDescent="0.4">
      <c r="B519" s="53"/>
      <c r="C519" s="23" t="s">
        <v>42</v>
      </c>
      <c r="D519" s="23"/>
      <c r="E519" s="53"/>
      <c r="F519" s="52"/>
      <c r="G519" s="53"/>
      <c r="H519" s="23" t="s">
        <v>42</v>
      </c>
      <c r="I519" s="23"/>
      <c r="J519" s="53"/>
      <c r="K519" s="52"/>
    </row>
    <row r="520" spans="2:11" ht="15.5" thickTop="1" thickBot="1" x14ac:dyDescent="0.4">
      <c r="B520" s="53" t="s">
        <v>40</v>
      </c>
      <c r="C520" s="123" t="str">
        <f>Summary!C36</f>
        <v>NGABOYIMANZI Loic</v>
      </c>
      <c r="D520" s="123"/>
      <c r="E520" s="55"/>
      <c r="F520" s="52"/>
      <c r="G520" s="53" t="s">
        <v>40</v>
      </c>
      <c r="H520" s="123" t="str">
        <f>Summary!C37</f>
        <v>NIYIBIKORA Jehovanie</v>
      </c>
      <c r="I520" s="123"/>
      <c r="J520" s="55"/>
      <c r="K520" s="52"/>
    </row>
    <row r="521" spans="2:11" ht="15" thickTop="1" x14ac:dyDescent="0.35">
      <c r="B521" s="124" t="s">
        <v>43</v>
      </c>
      <c r="C521" s="126" t="s">
        <v>37</v>
      </c>
      <c r="D521" s="127"/>
      <c r="E521" s="56"/>
      <c r="F521" s="52"/>
      <c r="G521" s="124" t="s">
        <v>43</v>
      </c>
      <c r="H521" s="126" t="s">
        <v>37</v>
      </c>
      <c r="I521" s="127"/>
      <c r="J521" s="56"/>
      <c r="K521" s="52"/>
    </row>
    <row r="522" spans="2:11" ht="15" thickBot="1" x14ac:dyDescent="0.4">
      <c r="B522" s="125"/>
      <c r="C522" s="57" t="s">
        <v>39</v>
      </c>
      <c r="D522" s="58" t="s">
        <v>38</v>
      </c>
      <c r="E522" s="54"/>
      <c r="F522" s="52"/>
      <c r="G522" s="125"/>
      <c r="H522" s="57" t="s">
        <v>39</v>
      </c>
      <c r="I522" s="58" t="s">
        <v>38</v>
      </c>
      <c r="J522" s="54"/>
      <c r="K522" s="52"/>
    </row>
    <row r="523" spans="2:11" ht="15" thickTop="1" x14ac:dyDescent="0.35">
      <c r="B523" s="59" t="s">
        <v>15</v>
      </c>
      <c r="C523" s="60">
        <f t="shared" ref="C523:C528" si="27">C487</f>
        <v>60</v>
      </c>
      <c r="D523" s="61">
        <f>Summary!E36</f>
        <v>57</v>
      </c>
      <c r="E523" s="54"/>
      <c r="F523" s="52"/>
      <c r="G523" s="59" t="s">
        <v>15</v>
      </c>
      <c r="H523" s="60">
        <f t="shared" ref="H523:H528" si="28">C523</f>
        <v>60</v>
      </c>
      <c r="I523" s="61">
        <f>Summary!E37</f>
        <v>58</v>
      </c>
      <c r="J523" s="54"/>
      <c r="K523" s="52"/>
    </row>
    <row r="524" spans="2:11" x14ac:dyDescent="0.35">
      <c r="B524" s="59" t="s">
        <v>30</v>
      </c>
      <c r="C524" s="60">
        <f t="shared" si="27"/>
        <v>30</v>
      </c>
      <c r="D524" s="61">
        <f>Summary!G36</f>
        <v>25</v>
      </c>
      <c r="E524" s="54"/>
      <c r="F524" s="52"/>
      <c r="G524" s="59" t="s">
        <v>30</v>
      </c>
      <c r="H524" s="60">
        <f t="shared" si="28"/>
        <v>30</v>
      </c>
      <c r="I524" s="61">
        <f>Summary!G37</f>
        <v>20</v>
      </c>
      <c r="J524" s="54"/>
      <c r="K524" s="52"/>
    </row>
    <row r="525" spans="2:11" x14ac:dyDescent="0.35">
      <c r="B525" s="59" t="s">
        <v>4</v>
      </c>
      <c r="C525" s="60">
        <f t="shared" si="27"/>
        <v>80</v>
      </c>
      <c r="D525" s="61">
        <f>Summary!I36</f>
        <v>78</v>
      </c>
      <c r="E525" s="54"/>
      <c r="F525" s="52"/>
      <c r="G525" s="59" t="s">
        <v>4</v>
      </c>
      <c r="H525" s="60">
        <f t="shared" si="28"/>
        <v>80</v>
      </c>
      <c r="I525" s="61">
        <f>Summary!I37</f>
        <v>80</v>
      </c>
      <c r="J525" s="54"/>
      <c r="K525" s="52"/>
    </row>
    <row r="526" spans="2:11" x14ac:dyDescent="0.35">
      <c r="B526" s="62" t="s">
        <v>5</v>
      </c>
      <c r="C526" s="60">
        <f t="shared" si="27"/>
        <v>80</v>
      </c>
      <c r="D526" s="61">
        <f>Summary!K36</f>
        <v>80</v>
      </c>
      <c r="E526" s="54"/>
      <c r="F526" s="52"/>
      <c r="G526" s="62" t="s">
        <v>5</v>
      </c>
      <c r="H526" s="60">
        <f t="shared" si="28"/>
        <v>80</v>
      </c>
      <c r="I526" s="61">
        <f>Summary!K37</f>
        <v>74</v>
      </c>
      <c r="J526" s="54"/>
      <c r="K526" s="52"/>
    </row>
    <row r="527" spans="2:11" x14ac:dyDescent="0.35">
      <c r="B527" s="62" t="s">
        <v>17</v>
      </c>
      <c r="C527" s="60">
        <f t="shared" si="27"/>
        <v>30</v>
      </c>
      <c r="D527" s="61">
        <f>Summary!M36</f>
        <v>21</v>
      </c>
      <c r="E527" s="54"/>
      <c r="F527" s="52"/>
      <c r="G527" s="62" t="s">
        <v>17</v>
      </c>
      <c r="H527" s="60">
        <f t="shared" si="28"/>
        <v>30</v>
      </c>
      <c r="I527" s="61">
        <f>Summary!M37</f>
        <v>28</v>
      </c>
      <c r="J527" s="54"/>
      <c r="K527" s="52"/>
    </row>
    <row r="528" spans="2:11" ht="15" thickBot="1" x14ac:dyDescent="0.4">
      <c r="B528" s="62" t="s">
        <v>46</v>
      </c>
      <c r="C528" s="60">
        <f t="shared" si="27"/>
        <v>80</v>
      </c>
      <c r="D528" s="61">
        <f>Summary!O36</f>
        <v>76</v>
      </c>
      <c r="E528" s="54"/>
      <c r="F528" s="52"/>
      <c r="G528" s="62" t="s">
        <v>46</v>
      </c>
      <c r="H528" s="60">
        <f t="shared" si="28"/>
        <v>80</v>
      </c>
      <c r="I528" s="61">
        <f>Summary!O37</f>
        <v>70</v>
      </c>
      <c r="J528" s="54"/>
      <c r="K528" s="52"/>
    </row>
    <row r="529" spans="2:11" ht="15.5" thickTop="1" thickBot="1" x14ac:dyDescent="0.4">
      <c r="B529" s="63" t="s">
        <v>11</v>
      </c>
      <c r="C529" s="64">
        <f>SUM(C523:C528)</f>
        <v>360</v>
      </c>
      <c r="D529" s="65">
        <f>SUM(D523:D528)</f>
        <v>337</v>
      </c>
      <c r="E529" s="54"/>
      <c r="F529" s="52"/>
      <c r="G529" s="63" t="s">
        <v>11</v>
      </c>
      <c r="H529" s="64">
        <f>SUM(H523:H528)</f>
        <v>360</v>
      </c>
      <c r="I529" s="65">
        <f>SUM(I523:I528)</f>
        <v>330</v>
      </c>
      <c r="J529" s="54"/>
      <c r="K529" s="52"/>
    </row>
    <row r="530" spans="2:11" ht="15.5" thickTop="1" thickBot="1" x14ac:dyDescent="0.4">
      <c r="B530" s="66" t="s">
        <v>32</v>
      </c>
      <c r="C530" s="128">
        <f>D529/C529</f>
        <v>0.93611111111111112</v>
      </c>
      <c r="D530" s="129"/>
      <c r="E530" s="54"/>
      <c r="F530" s="52"/>
      <c r="G530" s="66" t="s">
        <v>32</v>
      </c>
      <c r="H530" s="128">
        <f>I529/H529</f>
        <v>0.91666666666666663</v>
      </c>
      <c r="I530" s="129"/>
      <c r="J530" s="54"/>
      <c r="K530" s="52"/>
    </row>
    <row r="531" spans="2:11" ht="15.5" thickTop="1" thickBot="1" x14ac:dyDescent="0.4">
      <c r="B531" s="63" t="s">
        <v>21</v>
      </c>
      <c r="C531" s="83">
        <f>Summary!S36</f>
        <v>10</v>
      </c>
      <c r="D531" s="81">
        <f>Summary!S7</f>
        <v>44</v>
      </c>
      <c r="E531" s="54"/>
      <c r="F531" s="52"/>
      <c r="G531" s="63" t="s">
        <v>21</v>
      </c>
      <c r="H531" s="83">
        <f>Summary!S37</f>
        <v>12</v>
      </c>
      <c r="I531" s="81">
        <f>Summary!S7</f>
        <v>44</v>
      </c>
      <c r="J531" s="54"/>
      <c r="K531" s="52"/>
    </row>
    <row r="532" spans="2:11" ht="30" thickTop="1" thickBot="1" x14ac:dyDescent="0.4">
      <c r="B532" s="67" t="s">
        <v>33</v>
      </c>
      <c r="C532" s="134"/>
      <c r="D532" s="135"/>
      <c r="E532" s="54"/>
      <c r="F532" s="52"/>
      <c r="G532" s="67" t="s">
        <v>33</v>
      </c>
      <c r="H532" s="134"/>
      <c r="I532" s="135"/>
      <c r="J532" s="54"/>
      <c r="K532" s="52"/>
    </row>
    <row r="533" spans="2:11" ht="30" thickTop="1" thickBot="1" x14ac:dyDescent="0.4">
      <c r="B533" s="67" t="s">
        <v>34</v>
      </c>
      <c r="C533" s="131"/>
      <c r="D533" s="132"/>
      <c r="E533" s="54"/>
      <c r="F533" s="52"/>
      <c r="G533" s="67" t="s">
        <v>34</v>
      </c>
      <c r="H533" s="131"/>
      <c r="I533" s="132"/>
      <c r="J533" s="54"/>
      <c r="K533" s="52"/>
    </row>
    <row r="534" spans="2:11" ht="15" thickTop="1" x14ac:dyDescent="0.35">
      <c r="B534" s="50"/>
      <c r="C534" s="51"/>
      <c r="D534" s="51"/>
      <c r="E534" s="51"/>
      <c r="F534" s="52"/>
      <c r="G534" s="50"/>
      <c r="H534" s="51"/>
      <c r="I534" s="51"/>
      <c r="J534" s="51"/>
      <c r="K534" s="52"/>
    </row>
    <row r="535" spans="2:11" x14ac:dyDescent="0.35">
      <c r="B535" s="130" t="s">
        <v>35</v>
      </c>
      <c r="C535" s="130"/>
      <c r="D535" s="52"/>
      <c r="E535" s="52"/>
      <c r="F535" s="52"/>
      <c r="G535" s="130" t="s">
        <v>35</v>
      </c>
      <c r="H535" s="130"/>
      <c r="I535" s="52"/>
      <c r="J535" s="52"/>
      <c r="K535" s="52"/>
    </row>
    <row r="536" spans="2:11" x14ac:dyDescent="0.35">
      <c r="B536" s="68" t="s">
        <v>36</v>
      </c>
      <c r="C536" s="69">
        <f>C500</f>
        <v>45975</v>
      </c>
      <c r="D536" s="52"/>
      <c r="E536" s="52"/>
      <c r="F536" s="52"/>
      <c r="G536" s="68" t="s">
        <v>36</v>
      </c>
      <c r="H536" s="69">
        <f>H500</f>
        <v>45975</v>
      </c>
      <c r="I536" s="52"/>
      <c r="J536" s="52"/>
      <c r="K536" s="52"/>
    </row>
    <row r="537" spans="2:11" x14ac:dyDescent="0.35">
      <c r="B537" s="50"/>
      <c r="C537" s="51"/>
      <c r="D537" s="51"/>
      <c r="E537" s="51"/>
      <c r="F537" s="52"/>
      <c r="G537" s="50"/>
      <c r="H537" s="51"/>
      <c r="I537" s="51"/>
      <c r="J537" s="51"/>
      <c r="K537" s="52"/>
    </row>
    <row r="538" spans="2:11" x14ac:dyDescent="0.35">
      <c r="B538" s="50"/>
      <c r="C538" s="130"/>
      <c r="D538" s="130"/>
      <c r="E538" s="130"/>
      <c r="F538" s="130"/>
      <c r="G538" s="50"/>
      <c r="H538" s="130"/>
      <c r="I538" s="130"/>
      <c r="J538" s="130"/>
      <c r="K538" s="130"/>
    </row>
    <row r="539" spans="2:11" x14ac:dyDescent="0.35">
      <c r="B539" s="52"/>
      <c r="C539" s="130"/>
      <c r="D539" s="130"/>
      <c r="E539" s="130"/>
      <c r="F539" s="51"/>
      <c r="G539" s="52"/>
      <c r="H539" s="130"/>
      <c r="I539" s="130"/>
      <c r="J539" s="130"/>
      <c r="K539" s="51"/>
    </row>
    <row r="540" spans="2:11" x14ac:dyDescent="0.35">
      <c r="B540" s="52"/>
      <c r="C540" s="52"/>
      <c r="D540" s="52"/>
      <c r="E540" s="52"/>
      <c r="F540" s="52"/>
      <c r="G540" s="52"/>
      <c r="H540" s="52"/>
      <c r="I540" s="52"/>
      <c r="J540" s="52"/>
      <c r="K540" s="52"/>
    </row>
    <row r="541" spans="2:11" x14ac:dyDescent="0.35">
      <c r="B541" s="50"/>
      <c r="C541" s="51"/>
      <c r="D541" s="51"/>
      <c r="E541" s="51"/>
      <c r="F541" s="52"/>
      <c r="G541" s="50"/>
      <c r="H541" s="51"/>
      <c r="I541" s="51"/>
      <c r="J541" s="51"/>
      <c r="K541" s="52"/>
    </row>
    <row r="542" spans="2:11" x14ac:dyDescent="0.35">
      <c r="B542" s="50"/>
      <c r="C542" s="51"/>
      <c r="D542" s="51"/>
      <c r="E542" s="51"/>
      <c r="F542" s="52"/>
      <c r="G542" s="50"/>
      <c r="H542" s="51"/>
      <c r="I542" s="51"/>
      <c r="J542" s="51"/>
      <c r="K542" s="52"/>
    </row>
    <row r="543" spans="2:11" x14ac:dyDescent="0.35">
      <c r="B543" s="50"/>
      <c r="C543" s="51"/>
      <c r="D543" s="51"/>
      <c r="E543" s="51"/>
      <c r="F543" s="52"/>
      <c r="G543" s="50"/>
      <c r="H543" s="51"/>
      <c r="I543" s="51"/>
      <c r="J543" s="51"/>
      <c r="K543" s="52"/>
    </row>
    <row r="544" spans="2:11" x14ac:dyDescent="0.35">
      <c r="B544" s="50"/>
      <c r="C544" s="51"/>
      <c r="D544" s="51"/>
      <c r="E544" s="51"/>
      <c r="F544" s="52"/>
      <c r="G544" s="50"/>
      <c r="H544" s="51"/>
      <c r="I544" s="51"/>
      <c r="J544" s="51"/>
      <c r="K544" s="52"/>
    </row>
    <row r="545" spans="2:11" x14ac:dyDescent="0.35">
      <c r="B545" s="50"/>
      <c r="C545" s="51"/>
      <c r="D545" s="51"/>
      <c r="E545" s="51"/>
      <c r="F545" s="52"/>
      <c r="G545" s="50"/>
      <c r="H545" s="51"/>
      <c r="I545" s="51"/>
      <c r="J545" s="51"/>
      <c r="K545" s="52"/>
    </row>
    <row r="546" spans="2:11" x14ac:dyDescent="0.35">
      <c r="B546" s="53" t="s">
        <v>22</v>
      </c>
      <c r="C546" s="53"/>
      <c r="D546" s="53" t="s">
        <v>29</v>
      </c>
      <c r="E546" s="53" t="str">
        <f>E510</f>
        <v>2025/2026</v>
      </c>
      <c r="F546" s="52"/>
      <c r="G546" s="53" t="s">
        <v>22</v>
      </c>
      <c r="H546" s="53"/>
      <c r="I546" s="53" t="s">
        <v>29</v>
      </c>
      <c r="J546" s="53" t="str">
        <f>E546</f>
        <v>2025/2026</v>
      </c>
      <c r="K546" s="52"/>
    </row>
    <row r="547" spans="2:11" x14ac:dyDescent="0.35">
      <c r="B547" s="53" t="s">
        <v>23</v>
      </c>
      <c r="C547" s="53"/>
      <c r="D547" s="53"/>
      <c r="E547" s="53"/>
      <c r="F547" s="52"/>
      <c r="G547" s="53" t="s">
        <v>23</v>
      </c>
      <c r="H547" s="53"/>
      <c r="I547" s="53"/>
      <c r="J547" s="53"/>
      <c r="K547" s="52"/>
    </row>
    <row r="548" spans="2:11" x14ac:dyDescent="0.35">
      <c r="B548" s="53" t="s">
        <v>24</v>
      </c>
      <c r="C548" s="53"/>
      <c r="D548" s="53" t="s">
        <v>41</v>
      </c>
      <c r="E548" s="53" t="str">
        <f>E512</f>
        <v>P1-A</v>
      </c>
      <c r="F548" s="52"/>
      <c r="G548" s="53" t="s">
        <v>24</v>
      </c>
      <c r="H548" s="53"/>
      <c r="I548" s="53" t="s">
        <v>41</v>
      </c>
      <c r="J548" s="53" t="str">
        <f>E548</f>
        <v>P1-A</v>
      </c>
      <c r="K548" s="52"/>
    </row>
    <row r="549" spans="2:11" x14ac:dyDescent="0.35">
      <c r="B549" s="53" t="s">
        <v>25</v>
      </c>
      <c r="C549" s="53"/>
      <c r="D549" s="53"/>
      <c r="E549" s="52"/>
      <c r="F549" s="52"/>
      <c r="G549" s="53" t="s">
        <v>25</v>
      </c>
      <c r="H549" s="53"/>
      <c r="I549" s="53"/>
      <c r="J549" s="52"/>
      <c r="K549" s="52"/>
    </row>
    <row r="550" spans="2:11" x14ac:dyDescent="0.35">
      <c r="B550" s="53" t="s">
        <v>26</v>
      </c>
      <c r="C550" s="53"/>
      <c r="D550" s="53"/>
      <c r="E550" s="53"/>
      <c r="F550" s="52"/>
      <c r="G550" s="53" t="s">
        <v>26</v>
      </c>
      <c r="H550" s="53"/>
      <c r="I550" s="53"/>
      <c r="J550" s="53"/>
      <c r="K550" s="52"/>
    </row>
    <row r="551" spans="2:11" x14ac:dyDescent="0.35">
      <c r="B551" s="53" t="s">
        <v>9</v>
      </c>
      <c r="C551" s="53"/>
      <c r="D551" s="53" t="s">
        <v>12</v>
      </c>
      <c r="E551" s="53" t="str">
        <f>E515</f>
        <v xml:space="preserve"> INFERIEUR</v>
      </c>
      <c r="F551" s="52"/>
      <c r="G551" s="53" t="s">
        <v>9</v>
      </c>
      <c r="H551" s="53"/>
      <c r="I551" s="53" t="s">
        <v>12</v>
      </c>
      <c r="J551" s="53" t="str">
        <f>E551</f>
        <v xml:space="preserve"> INFERIEUR</v>
      </c>
      <c r="K551" s="52"/>
    </row>
    <row r="552" spans="2:11" x14ac:dyDescent="0.35">
      <c r="B552" s="53" t="s">
        <v>10</v>
      </c>
      <c r="C552" s="53"/>
      <c r="D552" s="53"/>
      <c r="E552" s="53"/>
      <c r="F552" s="52"/>
      <c r="G552" s="53" t="s">
        <v>10</v>
      </c>
      <c r="H552" s="53"/>
      <c r="I552" s="53"/>
      <c r="J552" s="53"/>
      <c r="K552" s="52"/>
    </row>
    <row r="553" spans="2:11" x14ac:dyDescent="0.35">
      <c r="B553" s="53" t="s">
        <v>27</v>
      </c>
      <c r="C553" s="53"/>
      <c r="D553" s="53"/>
      <c r="E553" s="53"/>
      <c r="F553" s="52"/>
      <c r="G553" s="53" t="s">
        <v>27</v>
      </c>
      <c r="H553" s="53"/>
      <c r="I553" s="53"/>
      <c r="J553" s="53"/>
      <c r="K553" s="52"/>
    </row>
    <row r="554" spans="2:11" ht="15" thickBot="1" x14ac:dyDescent="0.4">
      <c r="B554" s="53"/>
      <c r="C554" s="54"/>
      <c r="D554" s="54"/>
      <c r="E554" s="54"/>
      <c r="F554" s="52"/>
      <c r="G554" s="53"/>
      <c r="H554" s="54"/>
      <c r="I554" s="54"/>
      <c r="J554" s="54"/>
      <c r="K554" s="52"/>
    </row>
    <row r="555" spans="2:11" ht="15.5" thickTop="1" thickBot="1" x14ac:dyDescent="0.4">
      <c r="B555" s="53"/>
      <c r="C555" s="23" t="s">
        <v>42</v>
      </c>
      <c r="D555" s="23"/>
      <c r="E555" s="53"/>
      <c r="F555" s="52"/>
      <c r="G555" s="53"/>
      <c r="H555" s="23" t="s">
        <v>42</v>
      </c>
      <c r="I555" s="23"/>
      <c r="J555" s="53"/>
      <c r="K555" s="52"/>
    </row>
    <row r="556" spans="2:11" ht="15.5" thickTop="1" thickBot="1" x14ac:dyDescent="0.4">
      <c r="B556" s="53" t="s">
        <v>40</v>
      </c>
      <c r="C556" s="136" t="str">
        <f>Summary!C38</f>
        <v>NTIRIKINA Yvan Luc</v>
      </c>
      <c r="D556" s="136"/>
      <c r="E556" s="55"/>
      <c r="F556" s="52"/>
      <c r="G556" s="53" t="s">
        <v>40</v>
      </c>
      <c r="H556" s="136" t="str">
        <f>Summary!C39</f>
        <v>NTWARI Charmant</v>
      </c>
      <c r="I556" s="136"/>
      <c r="J556" s="55"/>
      <c r="K556" s="52"/>
    </row>
    <row r="557" spans="2:11" ht="15" thickTop="1" x14ac:dyDescent="0.35">
      <c r="B557" s="124" t="s">
        <v>43</v>
      </c>
      <c r="C557" s="126" t="s">
        <v>37</v>
      </c>
      <c r="D557" s="127"/>
      <c r="E557" s="56"/>
      <c r="F557" s="52"/>
      <c r="G557" s="124" t="s">
        <v>43</v>
      </c>
      <c r="H557" s="126" t="s">
        <v>37</v>
      </c>
      <c r="I557" s="127"/>
      <c r="J557" s="56"/>
      <c r="K557" s="52"/>
    </row>
    <row r="558" spans="2:11" ht="15" thickBot="1" x14ac:dyDescent="0.4">
      <c r="B558" s="125"/>
      <c r="C558" s="57" t="s">
        <v>39</v>
      </c>
      <c r="D558" s="58" t="s">
        <v>38</v>
      </c>
      <c r="E558" s="54"/>
      <c r="F558" s="52"/>
      <c r="G558" s="125"/>
      <c r="H558" s="57" t="s">
        <v>39</v>
      </c>
      <c r="I558" s="58" t="s">
        <v>38</v>
      </c>
      <c r="J558" s="54"/>
      <c r="K558" s="52"/>
    </row>
    <row r="559" spans="2:11" ht="15" thickTop="1" x14ac:dyDescent="0.35">
      <c r="B559" s="59" t="s">
        <v>15</v>
      </c>
      <c r="C559" s="60">
        <f t="shared" ref="C559:C564" si="29">C523</f>
        <v>60</v>
      </c>
      <c r="D559" s="61">
        <f>Summary!E38</f>
        <v>56</v>
      </c>
      <c r="E559" s="54"/>
      <c r="F559" s="52"/>
      <c r="G559" s="59" t="s">
        <v>15</v>
      </c>
      <c r="H559" s="60">
        <f t="shared" ref="H559:H564" si="30">C559</f>
        <v>60</v>
      </c>
      <c r="I559" s="61">
        <f>Summary!E39</f>
        <v>60</v>
      </c>
      <c r="J559" s="54"/>
      <c r="K559" s="52"/>
    </row>
    <row r="560" spans="2:11" x14ac:dyDescent="0.35">
      <c r="B560" s="59" t="s">
        <v>30</v>
      </c>
      <c r="C560" s="60">
        <f t="shared" si="29"/>
        <v>30</v>
      </c>
      <c r="D560" s="61">
        <f>Summary!G38</f>
        <v>28</v>
      </c>
      <c r="E560" s="54"/>
      <c r="F560" s="52"/>
      <c r="G560" s="59" t="s">
        <v>30</v>
      </c>
      <c r="H560" s="60">
        <f t="shared" si="30"/>
        <v>30</v>
      </c>
      <c r="I560" s="61">
        <f>Summary!G39</f>
        <v>26</v>
      </c>
      <c r="J560" s="54"/>
      <c r="K560" s="52"/>
    </row>
    <row r="561" spans="2:11" x14ac:dyDescent="0.35">
      <c r="B561" s="59" t="s">
        <v>4</v>
      </c>
      <c r="C561" s="60">
        <f t="shared" si="29"/>
        <v>80</v>
      </c>
      <c r="D561" s="61">
        <f>Summary!I38</f>
        <v>80</v>
      </c>
      <c r="E561" s="54"/>
      <c r="F561" s="52"/>
      <c r="G561" s="59" t="s">
        <v>4</v>
      </c>
      <c r="H561" s="60">
        <f t="shared" si="30"/>
        <v>80</v>
      </c>
      <c r="I561" s="61">
        <f>Summary!I39</f>
        <v>80</v>
      </c>
      <c r="J561" s="54"/>
      <c r="K561" s="52"/>
    </row>
    <row r="562" spans="2:11" x14ac:dyDescent="0.35">
      <c r="B562" s="62" t="s">
        <v>5</v>
      </c>
      <c r="C562" s="60">
        <f t="shared" si="29"/>
        <v>80</v>
      </c>
      <c r="D562" s="61">
        <f>Summary!K38</f>
        <v>68</v>
      </c>
      <c r="E562" s="54"/>
      <c r="F562" s="52"/>
      <c r="G562" s="62" t="s">
        <v>5</v>
      </c>
      <c r="H562" s="60">
        <f t="shared" si="30"/>
        <v>80</v>
      </c>
      <c r="I562" s="61">
        <f>Summary!K39</f>
        <v>76</v>
      </c>
      <c r="J562" s="54"/>
      <c r="K562" s="52"/>
    </row>
    <row r="563" spans="2:11" x14ac:dyDescent="0.35">
      <c r="B563" s="62" t="s">
        <v>17</v>
      </c>
      <c r="C563" s="60">
        <f t="shared" si="29"/>
        <v>30</v>
      </c>
      <c r="D563" s="61">
        <f>Summary!M38</f>
        <v>22</v>
      </c>
      <c r="E563" s="54"/>
      <c r="F563" s="52"/>
      <c r="G563" s="62" t="s">
        <v>17</v>
      </c>
      <c r="H563" s="60">
        <f t="shared" si="30"/>
        <v>30</v>
      </c>
      <c r="I563" s="61">
        <f>Summary!M39</f>
        <v>22</v>
      </c>
      <c r="J563" s="54"/>
      <c r="K563" s="52"/>
    </row>
    <row r="564" spans="2:11" ht="15" thickBot="1" x14ac:dyDescent="0.4">
      <c r="B564" s="62" t="s">
        <v>46</v>
      </c>
      <c r="C564" s="60">
        <f t="shared" si="29"/>
        <v>80</v>
      </c>
      <c r="D564" s="61">
        <f>Summary!O38</f>
        <v>55</v>
      </c>
      <c r="E564" s="54"/>
      <c r="F564" s="52"/>
      <c r="G564" s="62" t="s">
        <v>46</v>
      </c>
      <c r="H564" s="60">
        <f t="shared" si="30"/>
        <v>80</v>
      </c>
      <c r="I564" s="61">
        <f>Summary!O39</f>
        <v>64</v>
      </c>
      <c r="J564" s="54"/>
      <c r="K564" s="52"/>
    </row>
    <row r="565" spans="2:11" ht="15.5" thickTop="1" thickBot="1" x14ac:dyDescent="0.4">
      <c r="B565" s="63" t="s">
        <v>11</v>
      </c>
      <c r="C565" s="64">
        <f>SUM(C559:C564)</f>
        <v>360</v>
      </c>
      <c r="D565" s="65">
        <f>SUM(D559:D564)</f>
        <v>309</v>
      </c>
      <c r="E565" s="54"/>
      <c r="F565" s="52"/>
      <c r="G565" s="63" t="s">
        <v>11</v>
      </c>
      <c r="H565" s="64">
        <f>SUM(H559:H564)</f>
        <v>360</v>
      </c>
      <c r="I565" s="65">
        <f>SUM(I559:I564)</f>
        <v>328</v>
      </c>
      <c r="J565" s="54"/>
      <c r="K565" s="52"/>
    </row>
    <row r="566" spans="2:11" ht="15.5" thickTop="1" thickBot="1" x14ac:dyDescent="0.4">
      <c r="B566" s="66" t="s">
        <v>32</v>
      </c>
      <c r="C566" s="128">
        <f>D565/C565</f>
        <v>0.85833333333333328</v>
      </c>
      <c r="D566" s="129"/>
      <c r="E566" s="54"/>
      <c r="F566" s="52"/>
      <c r="G566" s="66" t="s">
        <v>32</v>
      </c>
      <c r="H566" s="128">
        <f>I565/H565</f>
        <v>0.91111111111111109</v>
      </c>
      <c r="I566" s="129"/>
      <c r="J566" s="54"/>
      <c r="K566" s="52"/>
    </row>
    <row r="567" spans="2:11" ht="15.5" thickTop="1" thickBot="1" x14ac:dyDescent="0.4">
      <c r="B567" s="63" t="s">
        <v>21</v>
      </c>
      <c r="C567" s="83">
        <f>Summary!S38</f>
        <v>23</v>
      </c>
      <c r="D567" s="81">
        <f>Summary!S7</f>
        <v>44</v>
      </c>
      <c r="E567" s="54"/>
      <c r="F567" s="52"/>
      <c r="G567" s="63" t="s">
        <v>21</v>
      </c>
      <c r="H567" s="83">
        <f>Summary!S39</f>
        <v>14</v>
      </c>
      <c r="I567" s="87">
        <f>Summary!S7</f>
        <v>44</v>
      </c>
      <c r="J567" s="54"/>
      <c r="K567" s="52"/>
    </row>
    <row r="568" spans="2:11" ht="30" thickTop="1" thickBot="1" x14ac:dyDescent="0.4">
      <c r="B568" s="67" t="s">
        <v>33</v>
      </c>
      <c r="C568" s="134"/>
      <c r="D568" s="135"/>
      <c r="E568" s="54"/>
      <c r="F568" s="52"/>
      <c r="G568" s="67" t="s">
        <v>33</v>
      </c>
      <c r="H568" s="134"/>
      <c r="I568" s="135"/>
      <c r="J568" s="54"/>
      <c r="K568" s="52"/>
    </row>
    <row r="569" spans="2:11" ht="30" thickTop="1" thickBot="1" x14ac:dyDescent="0.4">
      <c r="B569" s="67" t="s">
        <v>34</v>
      </c>
      <c r="C569" s="131"/>
      <c r="D569" s="132"/>
      <c r="E569" s="54"/>
      <c r="F569" s="52"/>
      <c r="G569" s="67" t="s">
        <v>34</v>
      </c>
      <c r="H569" s="131"/>
      <c r="I569" s="132"/>
      <c r="J569" s="54"/>
      <c r="K569" s="52"/>
    </row>
    <row r="570" spans="2:11" ht="15" thickTop="1" x14ac:dyDescent="0.35">
      <c r="B570" s="50"/>
      <c r="C570" s="51"/>
      <c r="D570" s="51"/>
      <c r="E570" s="51"/>
      <c r="F570" s="52"/>
      <c r="G570" s="50"/>
      <c r="H570" s="51"/>
      <c r="I570" s="51"/>
      <c r="J570" s="51"/>
      <c r="K570" s="52"/>
    </row>
    <row r="571" spans="2:11" x14ac:dyDescent="0.35">
      <c r="B571" s="130" t="s">
        <v>35</v>
      </c>
      <c r="C571" s="130"/>
      <c r="D571" s="52"/>
      <c r="E571" s="52"/>
      <c r="F571" s="52"/>
      <c r="G571" s="130" t="s">
        <v>35</v>
      </c>
      <c r="H571" s="130"/>
      <c r="I571" s="52"/>
      <c r="J571" s="52"/>
      <c r="K571" s="52"/>
    </row>
    <row r="572" spans="2:11" x14ac:dyDescent="0.35">
      <c r="B572" s="68" t="s">
        <v>36</v>
      </c>
      <c r="C572" s="69">
        <f>C536</f>
        <v>45975</v>
      </c>
      <c r="D572" s="52"/>
      <c r="E572" s="52"/>
      <c r="F572" s="52"/>
      <c r="G572" s="68" t="s">
        <v>36</v>
      </c>
      <c r="H572" s="69">
        <f>H536</f>
        <v>45975</v>
      </c>
      <c r="I572" s="52"/>
      <c r="J572" s="52"/>
      <c r="K572" s="52"/>
    </row>
    <row r="573" spans="2:11" x14ac:dyDescent="0.35">
      <c r="B573" s="50"/>
      <c r="C573" s="51"/>
      <c r="D573" s="51"/>
      <c r="E573" s="51"/>
      <c r="F573" s="52"/>
      <c r="G573" s="50"/>
      <c r="H573" s="51"/>
      <c r="I573" s="51"/>
      <c r="J573" s="51"/>
      <c r="K573" s="52"/>
    </row>
    <row r="574" spans="2:11" x14ac:dyDescent="0.35">
      <c r="B574" s="50"/>
      <c r="C574" s="130"/>
      <c r="D574" s="130"/>
      <c r="E574" s="130"/>
      <c r="F574" s="130"/>
      <c r="G574" s="50"/>
      <c r="H574" s="130"/>
      <c r="I574" s="130"/>
      <c r="J574" s="130"/>
      <c r="K574" s="130"/>
    </row>
    <row r="575" spans="2:11" x14ac:dyDescent="0.35">
      <c r="B575" s="52"/>
      <c r="C575" s="130"/>
      <c r="D575" s="130"/>
      <c r="E575" s="130"/>
      <c r="F575" s="51"/>
      <c r="G575" s="52"/>
      <c r="H575" s="130"/>
      <c r="I575" s="130"/>
      <c r="J575" s="130"/>
      <c r="K575" s="51"/>
    </row>
    <row r="576" spans="2:11" x14ac:dyDescent="0.35">
      <c r="B576" s="52"/>
      <c r="C576" s="52"/>
      <c r="D576" s="52"/>
      <c r="E576" s="52"/>
      <c r="F576" s="52"/>
      <c r="G576" s="52"/>
      <c r="H576" s="52"/>
      <c r="I576" s="52"/>
      <c r="J576" s="52"/>
      <c r="K576" s="52"/>
    </row>
    <row r="577" spans="2:10" x14ac:dyDescent="0.35">
      <c r="B577" s="20"/>
      <c r="C577" s="19"/>
      <c r="D577" s="19"/>
      <c r="E577" s="19"/>
      <c r="G577" s="20"/>
      <c r="H577" s="19"/>
      <c r="I577" s="19"/>
      <c r="J577" s="19"/>
    </row>
    <row r="578" spans="2:10" x14ac:dyDescent="0.35">
      <c r="B578" s="20"/>
      <c r="C578" s="19"/>
      <c r="D578" s="19"/>
      <c r="E578" s="19"/>
      <c r="G578" s="20"/>
      <c r="H578" s="19"/>
      <c r="I578" s="19"/>
      <c r="J578" s="19"/>
    </row>
    <row r="579" spans="2:10" x14ac:dyDescent="0.35">
      <c r="B579" s="20"/>
      <c r="C579" s="19"/>
      <c r="D579" s="19"/>
      <c r="E579" s="19"/>
      <c r="G579" s="20"/>
      <c r="H579" s="19"/>
      <c r="I579" s="19"/>
      <c r="J579" s="19"/>
    </row>
    <row r="580" spans="2:10" x14ac:dyDescent="0.35">
      <c r="B580" s="20"/>
      <c r="C580" s="19"/>
      <c r="D580" s="19"/>
      <c r="E580" s="19"/>
      <c r="G580" s="20"/>
      <c r="H580" s="19"/>
      <c r="I580" s="19"/>
      <c r="J580" s="19"/>
    </row>
    <row r="581" spans="2:10" x14ac:dyDescent="0.35">
      <c r="B581" s="20"/>
      <c r="C581" s="19"/>
      <c r="D581" s="19"/>
      <c r="E581" s="19"/>
      <c r="G581" s="20"/>
      <c r="H581" s="19"/>
      <c r="I581" s="19"/>
      <c r="J581" s="19"/>
    </row>
    <row r="582" spans="2:10" x14ac:dyDescent="0.35">
      <c r="B582" s="21" t="s">
        <v>22</v>
      </c>
      <c r="C582" s="21"/>
      <c r="D582" s="21" t="s">
        <v>29</v>
      </c>
      <c r="E582" s="21" t="str">
        <f>E546</f>
        <v>2025/2026</v>
      </c>
      <c r="G582" s="21" t="s">
        <v>22</v>
      </c>
      <c r="H582" s="21"/>
      <c r="I582" s="21" t="s">
        <v>29</v>
      </c>
      <c r="J582" s="21" t="str">
        <f>E582</f>
        <v>2025/2026</v>
      </c>
    </row>
    <row r="583" spans="2:10" x14ac:dyDescent="0.35">
      <c r="B583" s="21" t="s">
        <v>23</v>
      </c>
      <c r="C583" s="21"/>
      <c r="D583" s="21"/>
      <c r="E583" s="21"/>
      <c r="G583" s="21" t="s">
        <v>23</v>
      </c>
      <c r="H583" s="21"/>
      <c r="I583" s="21"/>
      <c r="J583" s="21"/>
    </row>
    <row r="584" spans="2:10" x14ac:dyDescent="0.35">
      <c r="B584" s="21" t="s">
        <v>24</v>
      </c>
      <c r="C584" s="21"/>
      <c r="D584" s="21" t="s">
        <v>41</v>
      </c>
      <c r="E584" s="21" t="str">
        <f>E548</f>
        <v>P1-A</v>
      </c>
      <c r="G584" s="21" t="s">
        <v>24</v>
      </c>
      <c r="H584" s="21"/>
      <c r="I584" s="21" t="s">
        <v>41</v>
      </c>
      <c r="J584" s="21" t="str">
        <f>E584</f>
        <v>P1-A</v>
      </c>
    </row>
    <row r="585" spans="2:10" x14ac:dyDescent="0.35">
      <c r="B585" s="21" t="s">
        <v>25</v>
      </c>
      <c r="C585" s="21"/>
      <c r="D585" s="21"/>
      <c r="G585" s="21" t="s">
        <v>25</v>
      </c>
      <c r="H585" s="21"/>
      <c r="I585" s="21"/>
    </row>
    <row r="586" spans="2:10" x14ac:dyDescent="0.35">
      <c r="B586" s="21" t="s">
        <v>26</v>
      </c>
      <c r="C586" s="21"/>
      <c r="D586" s="21"/>
      <c r="E586" s="21"/>
      <c r="G586" s="21" t="s">
        <v>26</v>
      </c>
      <c r="H586" s="21"/>
      <c r="I586" s="21"/>
      <c r="J586" s="21"/>
    </row>
    <row r="587" spans="2:10" x14ac:dyDescent="0.35">
      <c r="B587" s="21" t="s">
        <v>9</v>
      </c>
      <c r="C587" s="21"/>
      <c r="D587" s="21" t="s">
        <v>12</v>
      </c>
      <c r="E587" s="21" t="str">
        <f>E551</f>
        <v xml:space="preserve"> INFERIEUR</v>
      </c>
      <c r="G587" s="21" t="s">
        <v>9</v>
      </c>
      <c r="H587" s="21"/>
      <c r="I587" s="21" t="s">
        <v>12</v>
      </c>
      <c r="J587" s="21" t="str">
        <f>E587</f>
        <v xml:space="preserve"> INFERIEUR</v>
      </c>
    </row>
    <row r="588" spans="2:10" x14ac:dyDescent="0.35">
      <c r="B588" s="21" t="s">
        <v>10</v>
      </c>
      <c r="C588" s="21"/>
      <c r="D588" s="21"/>
      <c r="E588" s="21"/>
      <c r="G588" s="21" t="s">
        <v>10</v>
      </c>
      <c r="H588" s="21"/>
      <c r="I588" s="21"/>
      <c r="J588" s="21"/>
    </row>
    <row r="589" spans="2:10" x14ac:dyDescent="0.35">
      <c r="B589" s="21" t="s">
        <v>27</v>
      </c>
      <c r="C589" s="21"/>
      <c r="D589" s="21"/>
      <c r="E589" s="21"/>
      <c r="G589" s="21" t="s">
        <v>27</v>
      </c>
      <c r="H589" s="21"/>
      <c r="I589" s="21"/>
      <c r="J589" s="21"/>
    </row>
    <row r="590" spans="2:10" ht="15" thickBot="1" x14ac:dyDescent="0.4">
      <c r="B590" s="21"/>
      <c r="C590" s="22"/>
      <c r="D590" s="22"/>
      <c r="E590" s="22"/>
      <c r="G590" s="21"/>
      <c r="H590" s="22"/>
      <c r="I590" s="22"/>
      <c r="J590" s="22"/>
    </row>
    <row r="591" spans="2:10" ht="15.5" thickTop="1" thickBot="1" x14ac:dyDescent="0.4">
      <c r="B591" s="21"/>
      <c r="C591" s="23" t="s">
        <v>42</v>
      </c>
      <c r="D591" s="24"/>
      <c r="E591" s="21"/>
      <c r="G591" s="21"/>
      <c r="H591" s="23" t="s">
        <v>42</v>
      </c>
      <c r="I591" s="24"/>
      <c r="J591" s="21"/>
    </row>
    <row r="592" spans="2:10" ht="15.5" thickTop="1" thickBot="1" x14ac:dyDescent="0.4">
      <c r="B592" s="21" t="s">
        <v>40</v>
      </c>
      <c r="C592" s="145" t="str">
        <f>Summary!C40</f>
        <v>NTWARI Lucky Blaise</v>
      </c>
      <c r="D592" s="145"/>
      <c r="E592" s="25"/>
      <c r="G592" s="21" t="s">
        <v>40</v>
      </c>
      <c r="H592" s="145" t="str">
        <f>Summary!C41</f>
        <v>NUTETE UTUJE Israa</v>
      </c>
      <c r="I592" s="145"/>
      <c r="J592" s="25"/>
    </row>
    <row r="593" spans="2:10" ht="15" thickTop="1" x14ac:dyDescent="0.35">
      <c r="B593" s="137" t="s">
        <v>43</v>
      </c>
      <c r="C593" s="139" t="s">
        <v>37</v>
      </c>
      <c r="D593" s="140"/>
      <c r="E593" s="26"/>
      <c r="G593" s="137" t="s">
        <v>43</v>
      </c>
      <c r="H593" s="139" t="s">
        <v>37</v>
      </c>
      <c r="I593" s="140"/>
      <c r="J593" s="26"/>
    </row>
    <row r="594" spans="2:10" ht="15" thickBot="1" x14ac:dyDescent="0.4">
      <c r="B594" s="138"/>
      <c r="C594" s="27" t="s">
        <v>39</v>
      </c>
      <c r="D594" s="28" t="s">
        <v>38</v>
      </c>
      <c r="E594" s="22"/>
      <c r="G594" s="138"/>
      <c r="H594" s="27" t="s">
        <v>39</v>
      </c>
      <c r="I594" s="28" t="s">
        <v>38</v>
      </c>
      <c r="J594" s="22"/>
    </row>
    <row r="595" spans="2:10" ht="15" thickTop="1" x14ac:dyDescent="0.35">
      <c r="B595" s="29" t="s">
        <v>15</v>
      </c>
      <c r="C595" s="30">
        <f t="shared" ref="C595:C600" si="31">C559</f>
        <v>60</v>
      </c>
      <c r="D595" s="31">
        <f>Summary!E40</f>
        <v>50</v>
      </c>
      <c r="E595" s="22"/>
      <c r="G595" s="29" t="s">
        <v>15</v>
      </c>
      <c r="H595" s="30">
        <f t="shared" ref="H595:H600" si="32">C595</f>
        <v>60</v>
      </c>
      <c r="I595" s="31">
        <f>Summary!E41</f>
        <v>60</v>
      </c>
      <c r="J595" s="22"/>
    </row>
    <row r="596" spans="2:10" x14ac:dyDescent="0.35">
      <c r="B596" s="29" t="s">
        <v>30</v>
      </c>
      <c r="C596" s="30">
        <f t="shared" si="31"/>
        <v>30</v>
      </c>
      <c r="D596" s="31">
        <f>Summary!G40</f>
        <v>27</v>
      </c>
      <c r="E596" s="22"/>
      <c r="G596" s="29" t="s">
        <v>30</v>
      </c>
      <c r="H596" s="30">
        <f t="shared" si="32"/>
        <v>30</v>
      </c>
      <c r="I596" s="31">
        <f>Summary!G41</f>
        <v>30</v>
      </c>
      <c r="J596" s="22"/>
    </row>
    <row r="597" spans="2:10" x14ac:dyDescent="0.35">
      <c r="B597" s="29" t="s">
        <v>4</v>
      </c>
      <c r="C597" s="30">
        <f t="shared" si="31"/>
        <v>80</v>
      </c>
      <c r="D597" s="31">
        <f>Summary!I40</f>
        <v>66</v>
      </c>
      <c r="E597" s="22"/>
      <c r="G597" s="29" t="s">
        <v>4</v>
      </c>
      <c r="H597" s="30">
        <f t="shared" si="32"/>
        <v>80</v>
      </c>
      <c r="I597" s="31">
        <f>Summary!I41</f>
        <v>80</v>
      </c>
      <c r="J597" s="22"/>
    </row>
    <row r="598" spans="2:10" x14ac:dyDescent="0.35">
      <c r="B598" s="32" t="s">
        <v>5</v>
      </c>
      <c r="C598" s="30">
        <f t="shared" si="31"/>
        <v>80</v>
      </c>
      <c r="D598" s="31">
        <f>Summary!K40</f>
        <v>58</v>
      </c>
      <c r="E598" s="22"/>
      <c r="G598" s="32" t="s">
        <v>5</v>
      </c>
      <c r="H598" s="30">
        <f t="shared" si="32"/>
        <v>80</v>
      </c>
      <c r="I598" s="31">
        <f>Summary!K41</f>
        <v>80</v>
      </c>
      <c r="J598" s="22"/>
    </row>
    <row r="599" spans="2:10" x14ac:dyDescent="0.35">
      <c r="B599" s="32" t="s">
        <v>17</v>
      </c>
      <c r="C599" s="30">
        <f t="shared" si="31"/>
        <v>30</v>
      </c>
      <c r="D599" s="31">
        <f>Summary!M40</f>
        <v>26</v>
      </c>
      <c r="E599" s="22"/>
      <c r="G599" s="32" t="s">
        <v>17</v>
      </c>
      <c r="H599" s="30">
        <f t="shared" si="32"/>
        <v>30</v>
      </c>
      <c r="I599" s="31">
        <f>Summary!M41</f>
        <v>28</v>
      </c>
      <c r="J599" s="22"/>
    </row>
    <row r="600" spans="2:10" ht="19" thickBot="1" x14ac:dyDescent="0.5">
      <c r="B600" s="32" t="s">
        <v>31</v>
      </c>
      <c r="C600" s="30">
        <f t="shared" si="31"/>
        <v>80</v>
      </c>
      <c r="D600" s="31">
        <f>Summary!O40</f>
        <v>65</v>
      </c>
      <c r="E600" s="22"/>
      <c r="G600" s="32" t="s">
        <v>31</v>
      </c>
      <c r="H600" s="30">
        <f t="shared" si="32"/>
        <v>80</v>
      </c>
      <c r="I600" s="31">
        <f>Summary!O41</f>
        <v>76</v>
      </c>
      <c r="J600" s="22"/>
    </row>
    <row r="601" spans="2:10" ht="15.5" thickTop="1" thickBot="1" x14ac:dyDescent="0.4">
      <c r="B601" s="33" t="s">
        <v>11</v>
      </c>
      <c r="C601" s="39">
        <f>SUM(C595:C600)</f>
        <v>360</v>
      </c>
      <c r="D601" s="38">
        <f>SUM(D595:D600)</f>
        <v>292</v>
      </c>
      <c r="E601" s="22"/>
      <c r="G601" s="33" t="s">
        <v>11</v>
      </c>
      <c r="H601" s="39">
        <f>SUM(H595:H600)</f>
        <v>360</v>
      </c>
      <c r="I601" s="38">
        <f>SUM(I595:I600)</f>
        <v>354</v>
      </c>
      <c r="J601" s="22"/>
    </row>
    <row r="602" spans="2:10" ht="15.5" thickTop="1" thickBot="1" x14ac:dyDescent="0.4">
      <c r="B602" s="34" t="s">
        <v>32</v>
      </c>
      <c r="C602" s="141">
        <f>D601/C601</f>
        <v>0.81111111111111112</v>
      </c>
      <c r="D602" s="142"/>
      <c r="E602" s="22"/>
      <c r="G602" s="34" t="s">
        <v>32</v>
      </c>
      <c r="H602" s="141">
        <f>I601/H601</f>
        <v>0.98333333333333328</v>
      </c>
      <c r="I602" s="142"/>
      <c r="J602" s="22"/>
    </row>
    <row r="603" spans="2:10" ht="15.5" thickTop="1" thickBot="1" x14ac:dyDescent="0.4">
      <c r="B603" s="33" t="s">
        <v>21</v>
      </c>
      <c r="C603" s="84">
        <f>Summary!S40</f>
        <v>32</v>
      </c>
      <c r="D603" s="81">
        <f>Summary!S7</f>
        <v>44</v>
      </c>
      <c r="E603" s="22"/>
      <c r="G603" s="33" t="s">
        <v>21</v>
      </c>
      <c r="H603" s="84">
        <f>Summary!S41</f>
        <v>3</v>
      </c>
      <c r="I603" s="81">
        <f>Summary!S7</f>
        <v>44</v>
      </c>
      <c r="J603" s="22"/>
    </row>
    <row r="604" spans="2:10" ht="27.5" thickTop="1" thickBot="1" x14ac:dyDescent="0.4">
      <c r="B604" s="35" t="s">
        <v>33</v>
      </c>
      <c r="C604" s="143"/>
      <c r="D604" s="144"/>
      <c r="E604" s="22"/>
      <c r="G604" s="35" t="s">
        <v>33</v>
      </c>
      <c r="H604" s="143"/>
      <c r="I604" s="144"/>
      <c r="J604" s="22"/>
    </row>
    <row r="605" spans="2:10" ht="27.5" thickTop="1" thickBot="1" x14ac:dyDescent="0.4">
      <c r="B605" s="35" t="s">
        <v>34</v>
      </c>
      <c r="C605" s="146"/>
      <c r="D605" s="147"/>
      <c r="E605" s="22"/>
      <c r="G605" s="35" t="s">
        <v>34</v>
      </c>
      <c r="H605" s="146"/>
      <c r="I605" s="147"/>
      <c r="J605" s="22"/>
    </row>
    <row r="606" spans="2:10" ht="15" thickTop="1" x14ac:dyDescent="0.35">
      <c r="B606" s="20"/>
      <c r="C606" s="19"/>
      <c r="D606" s="19"/>
      <c r="E606" s="19"/>
      <c r="G606" s="20"/>
      <c r="H606" s="19"/>
      <c r="I606" s="19"/>
      <c r="J606" s="19"/>
    </row>
    <row r="607" spans="2:10" x14ac:dyDescent="0.35">
      <c r="B607" s="148" t="s">
        <v>35</v>
      </c>
      <c r="C607" s="148"/>
      <c r="G607" s="148" t="s">
        <v>35</v>
      </c>
      <c r="H607" s="148"/>
    </row>
    <row r="608" spans="2:10" x14ac:dyDescent="0.35">
      <c r="B608" s="36" t="s">
        <v>36</v>
      </c>
      <c r="C608" s="37">
        <f>C572</f>
        <v>45975</v>
      </c>
      <c r="G608" s="36" t="s">
        <v>36</v>
      </c>
      <c r="H608" s="37">
        <f>H572</f>
        <v>45975</v>
      </c>
    </row>
    <row r="609" spans="2:11" x14ac:dyDescent="0.35">
      <c r="B609" s="20"/>
      <c r="C609" s="19"/>
      <c r="D609" s="19"/>
      <c r="E609" s="19"/>
      <c r="G609" s="20"/>
      <c r="H609" s="19"/>
      <c r="I609" s="19"/>
      <c r="J609" s="19"/>
    </row>
    <row r="610" spans="2:11" x14ac:dyDescent="0.35">
      <c r="B610" s="20"/>
      <c r="C610" s="148"/>
      <c r="D610" s="148"/>
      <c r="E610" s="148"/>
      <c r="F610" s="148"/>
      <c r="G610" s="20"/>
      <c r="H610" s="148"/>
      <c r="I610" s="148"/>
      <c r="J610" s="148"/>
      <c r="K610" s="148"/>
    </row>
    <row r="611" spans="2:11" x14ac:dyDescent="0.35">
      <c r="C611" s="148"/>
      <c r="D611" s="148"/>
      <c r="E611" s="148"/>
      <c r="F611" s="19"/>
      <c r="H611" s="148"/>
      <c r="I611" s="148"/>
      <c r="J611" s="148"/>
      <c r="K611" s="19"/>
    </row>
    <row r="613" spans="2:11" x14ac:dyDescent="0.35">
      <c r="B613" s="20"/>
      <c r="C613" s="19"/>
      <c r="D613" s="19"/>
      <c r="E613" s="19"/>
      <c r="G613" s="20"/>
      <c r="H613" s="19"/>
      <c r="I613" s="19"/>
      <c r="J613" s="19"/>
    </row>
    <row r="614" spans="2:11" x14ac:dyDescent="0.35">
      <c r="B614" s="20"/>
      <c r="C614" s="19"/>
      <c r="D614" s="19"/>
      <c r="E614" s="19"/>
      <c r="G614" s="20"/>
      <c r="H614" s="19"/>
      <c r="I614" s="19"/>
      <c r="J614" s="19"/>
    </row>
    <row r="615" spans="2:11" x14ac:dyDescent="0.35">
      <c r="B615" s="20"/>
      <c r="C615" s="19"/>
      <c r="D615" s="19"/>
      <c r="E615" s="19"/>
      <c r="G615" s="20"/>
      <c r="H615" s="19"/>
      <c r="I615" s="19"/>
      <c r="J615" s="19"/>
    </row>
    <row r="616" spans="2:11" x14ac:dyDescent="0.35">
      <c r="B616" s="20"/>
      <c r="C616" s="19"/>
      <c r="D616" s="19"/>
      <c r="E616" s="19"/>
      <c r="G616" s="20"/>
      <c r="H616" s="19"/>
      <c r="I616" s="19"/>
      <c r="J616" s="19"/>
    </row>
    <row r="617" spans="2:11" x14ac:dyDescent="0.35">
      <c r="B617" s="20"/>
      <c r="C617" s="19"/>
      <c r="D617" s="19"/>
      <c r="E617" s="19"/>
      <c r="G617" s="20"/>
      <c r="H617" s="19"/>
      <c r="I617" s="19"/>
      <c r="J617" s="19"/>
    </row>
    <row r="618" spans="2:11" x14ac:dyDescent="0.35">
      <c r="B618" s="21" t="s">
        <v>22</v>
      </c>
      <c r="C618" s="21"/>
      <c r="D618" s="21" t="s">
        <v>29</v>
      </c>
      <c r="E618" s="21" t="str">
        <f>E582</f>
        <v>2025/2026</v>
      </c>
      <c r="G618" s="21" t="s">
        <v>22</v>
      </c>
      <c r="H618" s="21"/>
      <c r="I618" s="21" t="s">
        <v>29</v>
      </c>
      <c r="J618" s="21" t="str">
        <f>E618</f>
        <v>2025/2026</v>
      </c>
    </row>
    <row r="619" spans="2:11" x14ac:dyDescent="0.35">
      <c r="B619" s="21" t="s">
        <v>23</v>
      </c>
      <c r="C619" s="21"/>
      <c r="D619" s="21"/>
      <c r="E619" s="21"/>
      <c r="G619" s="21" t="s">
        <v>23</v>
      </c>
      <c r="H619" s="21"/>
      <c r="I619" s="21"/>
      <c r="J619" s="21"/>
    </row>
    <row r="620" spans="2:11" x14ac:dyDescent="0.35">
      <c r="B620" s="21" t="s">
        <v>24</v>
      </c>
      <c r="C620" s="21"/>
      <c r="D620" s="21" t="s">
        <v>41</v>
      </c>
      <c r="E620" s="21" t="str">
        <f>E584</f>
        <v>P1-A</v>
      </c>
      <c r="G620" s="21" t="s">
        <v>24</v>
      </c>
      <c r="H620" s="21"/>
      <c r="I620" s="21" t="s">
        <v>41</v>
      </c>
      <c r="J620" s="21" t="str">
        <f>E620</f>
        <v>P1-A</v>
      </c>
    </row>
    <row r="621" spans="2:11" x14ac:dyDescent="0.35">
      <c r="B621" s="21" t="s">
        <v>25</v>
      </c>
      <c r="C621" s="21"/>
      <c r="D621" s="21"/>
      <c r="G621" s="21" t="s">
        <v>25</v>
      </c>
      <c r="H621" s="21"/>
      <c r="I621" s="21"/>
    </row>
    <row r="622" spans="2:11" x14ac:dyDescent="0.35">
      <c r="B622" s="21" t="s">
        <v>26</v>
      </c>
      <c r="C622" s="21"/>
      <c r="D622" s="21"/>
      <c r="E622" s="21"/>
      <c r="G622" s="21" t="s">
        <v>26</v>
      </c>
      <c r="H622" s="21"/>
      <c r="I622" s="21"/>
      <c r="J622" s="21"/>
    </row>
    <row r="623" spans="2:11" x14ac:dyDescent="0.35">
      <c r="B623" s="21" t="s">
        <v>9</v>
      </c>
      <c r="C623" s="21"/>
      <c r="D623" s="21" t="s">
        <v>12</v>
      </c>
      <c r="E623" s="21" t="str">
        <f>E587</f>
        <v xml:space="preserve"> INFERIEUR</v>
      </c>
      <c r="G623" s="21" t="s">
        <v>9</v>
      </c>
      <c r="H623" s="21"/>
      <c r="I623" s="21" t="s">
        <v>12</v>
      </c>
      <c r="J623" s="21" t="str">
        <f>E623</f>
        <v xml:space="preserve"> INFERIEUR</v>
      </c>
    </row>
    <row r="624" spans="2:11" x14ac:dyDescent="0.35">
      <c r="B624" s="21" t="s">
        <v>10</v>
      </c>
      <c r="C624" s="21"/>
      <c r="D624" s="21"/>
      <c r="E624" s="21"/>
      <c r="G624" s="21" t="s">
        <v>10</v>
      </c>
      <c r="H624" s="21"/>
      <c r="I624" s="21"/>
      <c r="J624" s="21"/>
    </row>
    <row r="625" spans="2:10" x14ac:dyDescent="0.35">
      <c r="B625" s="21" t="s">
        <v>27</v>
      </c>
      <c r="C625" s="21"/>
      <c r="D625" s="21"/>
      <c r="E625" s="21"/>
      <c r="G625" s="21" t="s">
        <v>27</v>
      </c>
      <c r="H625" s="21"/>
      <c r="I625" s="21"/>
      <c r="J625" s="21"/>
    </row>
    <row r="626" spans="2:10" ht="15" thickBot="1" x14ac:dyDescent="0.4">
      <c r="B626" s="21"/>
      <c r="C626" s="22"/>
      <c r="D626" s="22"/>
      <c r="E626" s="22"/>
      <c r="G626" s="21"/>
      <c r="H626" s="22"/>
      <c r="I626" s="22"/>
      <c r="J626" s="22"/>
    </row>
    <row r="627" spans="2:10" ht="15.5" thickTop="1" thickBot="1" x14ac:dyDescent="0.4">
      <c r="B627" s="21"/>
      <c r="C627" s="23" t="s">
        <v>42</v>
      </c>
      <c r="D627" s="24"/>
      <c r="E627" s="21"/>
      <c r="G627" s="21"/>
      <c r="H627" s="23" t="s">
        <v>42</v>
      </c>
      <c r="I627" s="24"/>
      <c r="J627" s="21"/>
    </row>
    <row r="628" spans="2:10" ht="15.5" thickTop="1" thickBot="1" x14ac:dyDescent="0.4">
      <c r="B628" s="21" t="s">
        <v>40</v>
      </c>
      <c r="C628" s="145" t="str">
        <f>Summary!C42</f>
        <v>NUWAYO ISHEJA Bella</v>
      </c>
      <c r="D628" s="145"/>
      <c r="E628" s="25"/>
      <c r="G628" s="21" t="s">
        <v>40</v>
      </c>
      <c r="H628" s="145" t="str">
        <f>Summary!C43</f>
        <v>SHAMI Blaise</v>
      </c>
      <c r="I628" s="145"/>
      <c r="J628" s="25"/>
    </row>
    <row r="629" spans="2:10" ht="15" thickTop="1" x14ac:dyDescent="0.35">
      <c r="B629" s="137" t="s">
        <v>43</v>
      </c>
      <c r="C629" s="139" t="s">
        <v>37</v>
      </c>
      <c r="D629" s="140"/>
      <c r="E629" s="26"/>
      <c r="G629" s="137" t="s">
        <v>43</v>
      </c>
      <c r="H629" s="139" t="s">
        <v>37</v>
      </c>
      <c r="I629" s="140"/>
      <c r="J629" s="26"/>
    </row>
    <row r="630" spans="2:10" ht="15" thickBot="1" x14ac:dyDescent="0.4">
      <c r="B630" s="138"/>
      <c r="C630" s="27" t="s">
        <v>39</v>
      </c>
      <c r="D630" s="28" t="s">
        <v>38</v>
      </c>
      <c r="E630" s="22"/>
      <c r="G630" s="138"/>
      <c r="H630" s="27" t="s">
        <v>39</v>
      </c>
      <c r="I630" s="28" t="s">
        <v>38</v>
      </c>
      <c r="J630" s="22"/>
    </row>
    <row r="631" spans="2:10" ht="15" thickTop="1" x14ac:dyDescent="0.35">
      <c r="B631" s="29" t="s">
        <v>15</v>
      </c>
      <c r="C631" s="30">
        <f t="shared" ref="C631:C636" si="33">C595</f>
        <v>60</v>
      </c>
      <c r="D631" s="31">
        <f>Summary!E42</f>
        <v>60</v>
      </c>
      <c r="E631" s="22"/>
      <c r="G631" s="29" t="s">
        <v>15</v>
      </c>
      <c r="H631" s="30">
        <f t="shared" ref="H631:H636" si="34">C631</f>
        <v>60</v>
      </c>
      <c r="I631" s="31">
        <f>Summary!E43</f>
        <v>48</v>
      </c>
      <c r="J631" s="22"/>
    </row>
    <row r="632" spans="2:10" x14ac:dyDescent="0.35">
      <c r="B632" s="29" t="s">
        <v>30</v>
      </c>
      <c r="C632" s="30">
        <f t="shared" si="33"/>
        <v>30</v>
      </c>
      <c r="D632" s="31">
        <f>Summary!G42</f>
        <v>23</v>
      </c>
      <c r="E632" s="22"/>
      <c r="G632" s="29" t="s">
        <v>30</v>
      </c>
      <c r="H632" s="30">
        <f t="shared" si="34"/>
        <v>30</v>
      </c>
      <c r="I632" s="31">
        <f>Summary!G43</f>
        <v>21</v>
      </c>
      <c r="J632" s="22"/>
    </row>
    <row r="633" spans="2:10" x14ac:dyDescent="0.35">
      <c r="B633" s="29" t="s">
        <v>4</v>
      </c>
      <c r="C633" s="30">
        <f t="shared" si="33"/>
        <v>80</v>
      </c>
      <c r="D633" s="31">
        <f>Summary!I42</f>
        <v>78</v>
      </c>
      <c r="E633" s="22"/>
      <c r="G633" s="29" t="s">
        <v>4</v>
      </c>
      <c r="H633" s="30">
        <f t="shared" si="34"/>
        <v>80</v>
      </c>
      <c r="I633" s="31">
        <f>Summary!I43</f>
        <v>74</v>
      </c>
      <c r="J633" s="22"/>
    </row>
    <row r="634" spans="2:10" x14ac:dyDescent="0.35">
      <c r="B634" s="32" t="s">
        <v>5</v>
      </c>
      <c r="C634" s="30">
        <f t="shared" si="33"/>
        <v>80</v>
      </c>
      <c r="D634" s="31">
        <f>Summary!K42</f>
        <v>80</v>
      </c>
      <c r="E634" s="22"/>
      <c r="G634" s="32" t="s">
        <v>5</v>
      </c>
      <c r="H634" s="30">
        <f t="shared" si="34"/>
        <v>80</v>
      </c>
      <c r="I634" s="31">
        <f>Summary!K43</f>
        <v>70</v>
      </c>
      <c r="J634" s="22"/>
    </row>
    <row r="635" spans="2:10" x14ac:dyDescent="0.35">
      <c r="B635" s="32" t="s">
        <v>17</v>
      </c>
      <c r="C635" s="30">
        <f t="shared" si="33"/>
        <v>30</v>
      </c>
      <c r="D635" s="31">
        <f>Summary!M42</f>
        <v>26</v>
      </c>
      <c r="E635" s="22"/>
      <c r="G635" s="32" t="s">
        <v>17</v>
      </c>
      <c r="H635" s="30">
        <f t="shared" si="34"/>
        <v>30</v>
      </c>
      <c r="I635" s="31">
        <f>Summary!M43</f>
        <v>15</v>
      </c>
      <c r="J635" s="22"/>
    </row>
    <row r="636" spans="2:10" ht="19" thickBot="1" x14ac:dyDescent="0.5">
      <c r="B636" s="32" t="s">
        <v>31</v>
      </c>
      <c r="C636" s="30">
        <f t="shared" si="33"/>
        <v>80</v>
      </c>
      <c r="D636" s="31">
        <f>Summary!O42</f>
        <v>58</v>
      </c>
      <c r="E636" s="22"/>
      <c r="G636" s="32" t="s">
        <v>31</v>
      </c>
      <c r="H636" s="30">
        <f t="shared" si="34"/>
        <v>80</v>
      </c>
      <c r="I636" s="31">
        <f>Summary!O43</f>
        <v>50</v>
      </c>
      <c r="J636" s="22"/>
    </row>
    <row r="637" spans="2:10" ht="15.5" thickTop="1" thickBot="1" x14ac:dyDescent="0.4">
      <c r="B637" s="33" t="s">
        <v>11</v>
      </c>
      <c r="C637" s="39">
        <f>SUM(C631:C636)</f>
        <v>360</v>
      </c>
      <c r="D637" s="38">
        <f>SUM(D631:D636)</f>
        <v>325</v>
      </c>
      <c r="E637" s="22"/>
      <c r="G637" s="33" t="s">
        <v>11</v>
      </c>
      <c r="H637" s="39">
        <f>SUM(H631:H636)</f>
        <v>360</v>
      </c>
      <c r="I637" s="38">
        <f>SUM(I631:I636)</f>
        <v>278</v>
      </c>
      <c r="J637" s="22"/>
    </row>
    <row r="638" spans="2:10" ht="15.5" thickTop="1" thickBot="1" x14ac:dyDescent="0.4">
      <c r="B638" s="34" t="s">
        <v>32</v>
      </c>
      <c r="C638" s="141">
        <f>D637/C637</f>
        <v>0.90277777777777779</v>
      </c>
      <c r="D638" s="142"/>
      <c r="E638" s="22"/>
      <c r="G638" s="34" t="s">
        <v>32</v>
      </c>
      <c r="H638" s="141">
        <f>I637/H637</f>
        <v>0.77222222222222225</v>
      </c>
      <c r="I638" s="142"/>
      <c r="J638" s="22"/>
    </row>
    <row r="639" spans="2:10" ht="15.5" thickTop="1" thickBot="1" x14ac:dyDescent="0.4">
      <c r="B639" s="33" t="s">
        <v>21</v>
      </c>
      <c r="C639" s="84">
        <f>Summary!S42</f>
        <v>17</v>
      </c>
      <c r="D639" s="84">
        <f>Summary!S7</f>
        <v>44</v>
      </c>
      <c r="E639" s="22"/>
      <c r="G639" s="33" t="s">
        <v>21</v>
      </c>
      <c r="H639" s="84">
        <f>Summary!S43</f>
        <v>35</v>
      </c>
      <c r="I639" s="84">
        <f>Summary!S7</f>
        <v>44</v>
      </c>
      <c r="J639" s="22"/>
    </row>
    <row r="640" spans="2:10" ht="27.5" thickTop="1" thickBot="1" x14ac:dyDescent="0.4">
      <c r="B640" s="35" t="s">
        <v>33</v>
      </c>
      <c r="C640" s="143"/>
      <c r="D640" s="144"/>
      <c r="E640" s="22"/>
      <c r="G640" s="35" t="s">
        <v>33</v>
      </c>
      <c r="H640" s="143"/>
      <c r="I640" s="144"/>
      <c r="J640" s="22"/>
    </row>
    <row r="641" spans="2:11" ht="27.5" thickTop="1" thickBot="1" x14ac:dyDescent="0.4">
      <c r="B641" s="35" t="s">
        <v>34</v>
      </c>
      <c r="C641" s="146"/>
      <c r="D641" s="147"/>
      <c r="E641" s="22"/>
      <c r="G641" s="35" t="s">
        <v>34</v>
      </c>
      <c r="H641" s="146"/>
      <c r="I641" s="147"/>
      <c r="J641" s="22"/>
    </row>
    <row r="642" spans="2:11" ht="15" thickTop="1" x14ac:dyDescent="0.35">
      <c r="B642" s="20"/>
      <c r="C642" s="19"/>
      <c r="D642" s="19"/>
      <c r="E642" s="19"/>
      <c r="G642" s="20"/>
      <c r="H642" s="19"/>
      <c r="I642" s="19"/>
      <c r="J642" s="19"/>
    </row>
    <row r="643" spans="2:11" x14ac:dyDescent="0.35">
      <c r="B643" s="148" t="s">
        <v>35</v>
      </c>
      <c r="C643" s="148"/>
      <c r="G643" s="148" t="s">
        <v>35</v>
      </c>
      <c r="H643" s="148"/>
    </row>
    <row r="644" spans="2:11" x14ac:dyDescent="0.35">
      <c r="B644" s="36" t="s">
        <v>36</v>
      </c>
      <c r="C644" s="37">
        <f>C608</f>
        <v>45975</v>
      </c>
      <c r="G644" s="36" t="s">
        <v>36</v>
      </c>
      <c r="H644" s="37">
        <f>H608</f>
        <v>45975</v>
      </c>
    </row>
    <row r="645" spans="2:11" x14ac:dyDescent="0.35">
      <c r="B645" s="20"/>
      <c r="C645" s="19"/>
      <c r="D645" s="19"/>
      <c r="E645" s="19"/>
      <c r="G645" s="20"/>
      <c r="H645" s="19"/>
      <c r="I645" s="19"/>
      <c r="J645" s="19"/>
    </row>
    <row r="646" spans="2:11" x14ac:dyDescent="0.35">
      <c r="B646" s="20"/>
      <c r="C646" s="148"/>
      <c r="D646" s="148"/>
      <c r="E646" s="148"/>
      <c r="F646" s="148"/>
      <c r="G646" s="20"/>
      <c r="H646" s="148"/>
      <c r="I646" s="148"/>
      <c r="J646" s="148"/>
      <c r="K646" s="148"/>
    </row>
    <row r="647" spans="2:11" x14ac:dyDescent="0.35">
      <c r="C647" s="148"/>
      <c r="D647" s="148"/>
      <c r="E647" s="148"/>
      <c r="F647" s="19"/>
      <c r="H647" s="148"/>
      <c r="I647" s="148"/>
      <c r="J647" s="148"/>
      <c r="K647" s="19"/>
    </row>
    <row r="649" spans="2:11" x14ac:dyDescent="0.35">
      <c r="B649" s="20"/>
      <c r="C649" s="19"/>
      <c r="D649" s="19"/>
      <c r="E649" s="19"/>
      <c r="G649" s="20"/>
      <c r="H649" s="19"/>
      <c r="I649" s="19"/>
      <c r="J649" s="19"/>
    </row>
    <row r="650" spans="2:11" x14ac:dyDescent="0.35">
      <c r="B650" s="20"/>
      <c r="C650" s="19"/>
      <c r="D650" s="19"/>
      <c r="E650" s="19"/>
      <c r="G650" s="20"/>
      <c r="H650" s="19"/>
      <c r="I650" s="19"/>
      <c r="J650" s="19"/>
    </row>
    <row r="651" spans="2:11" x14ac:dyDescent="0.35">
      <c r="B651" s="20"/>
      <c r="C651" s="19"/>
      <c r="D651" s="19"/>
      <c r="E651" s="19"/>
      <c r="G651" s="20"/>
      <c r="H651" s="19"/>
      <c r="I651" s="19"/>
      <c r="J651" s="19"/>
    </row>
    <row r="652" spans="2:11" x14ac:dyDescent="0.35">
      <c r="B652" s="20"/>
      <c r="C652" s="19"/>
      <c r="D652" s="19"/>
      <c r="E652" s="19"/>
      <c r="G652" s="20"/>
      <c r="H652" s="19"/>
      <c r="I652" s="19"/>
      <c r="J652" s="19"/>
    </row>
    <row r="653" spans="2:11" x14ac:dyDescent="0.35">
      <c r="B653" s="20"/>
      <c r="C653" s="19"/>
      <c r="D653" s="19"/>
      <c r="E653" s="19"/>
      <c r="G653" s="20"/>
      <c r="H653" s="19"/>
      <c r="I653" s="19"/>
      <c r="J653" s="19"/>
    </row>
    <row r="654" spans="2:11" x14ac:dyDescent="0.35">
      <c r="B654" s="21" t="s">
        <v>22</v>
      </c>
      <c r="C654" s="21"/>
      <c r="D654" s="21" t="s">
        <v>29</v>
      </c>
      <c r="E654" s="21" t="str">
        <f>E618</f>
        <v>2025/2026</v>
      </c>
      <c r="G654" s="21" t="s">
        <v>22</v>
      </c>
      <c r="H654" s="21"/>
      <c r="I654" s="21" t="s">
        <v>29</v>
      </c>
      <c r="J654" s="21" t="str">
        <f>E654</f>
        <v>2025/2026</v>
      </c>
    </row>
    <row r="655" spans="2:11" x14ac:dyDescent="0.35">
      <c r="B655" s="21" t="s">
        <v>23</v>
      </c>
      <c r="C655" s="21"/>
      <c r="D655" s="21"/>
      <c r="E655" s="21"/>
      <c r="G655" s="21" t="s">
        <v>23</v>
      </c>
      <c r="H655" s="21"/>
      <c r="I655" s="21"/>
      <c r="J655" s="21"/>
    </row>
    <row r="656" spans="2:11" x14ac:dyDescent="0.35">
      <c r="B656" s="21" t="s">
        <v>24</v>
      </c>
      <c r="C656" s="21"/>
      <c r="D656" s="21" t="s">
        <v>41</v>
      </c>
      <c r="E656" s="21" t="str">
        <f>E620</f>
        <v>P1-A</v>
      </c>
      <c r="G656" s="21" t="s">
        <v>24</v>
      </c>
      <c r="H656" s="21"/>
      <c r="I656" s="21" t="s">
        <v>41</v>
      </c>
      <c r="J656" s="21" t="str">
        <f>E656</f>
        <v>P1-A</v>
      </c>
    </row>
    <row r="657" spans="2:10" x14ac:dyDescent="0.35">
      <c r="B657" s="21" t="s">
        <v>25</v>
      </c>
      <c r="C657" s="21"/>
      <c r="D657" s="21"/>
      <c r="G657" s="21" t="s">
        <v>25</v>
      </c>
      <c r="H657" s="21"/>
      <c r="I657" s="21"/>
    </row>
    <row r="658" spans="2:10" x14ac:dyDescent="0.35">
      <c r="B658" s="21" t="s">
        <v>26</v>
      </c>
      <c r="C658" s="21"/>
      <c r="D658" s="21"/>
      <c r="E658" s="21"/>
      <c r="G658" s="21" t="s">
        <v>26</v>
      </c>
      <c r="H658" s="21"/>
      <c r="I658" s="21"/>
      <c r="J658" s="21"/>
    </row>
    <row r="659" spans="2:10" x14ac:dyDescent="0.35">
      <c r="B659" s="21" t="s">
        <v>9</v>
      </c>
      <c r="C659" s="21"/>
      <c r="D659" s="21" t="s">
        <v>12</v>
      </c>
      <c r="E659" s="21" t="str">
        <f>E623</f>
        <v xml:space="preserve"> INFERIEUR</v>
      </c>
      <c r="G659" s="21" t="s">
        <v>9</v>
      </c>
      <c r="H659" s="21"/>
      <c r="I659" s="21" t="s">
        <v>12</v>
      </c>
      <c r="J659" s="21" t="str">
        <f>E659</f>
        <v xml:space="preserve"> INFERIEUR</v>
      </c>
    </row>
    <row r="660" spans="2:10" x14ac:dyDescent="0.35">
      <c r="B660" s="21" t="s">
        <v>10</v>
      </c>
      <c r="C660" s="21"/>
      <c r="D660" s="21"/>
      <c r="E660" s="21"/>
      <c r="G660" s="21" t="s">
        <v>10</v>
      </c>
      <c r="H660" s="21"/>
      <c r="I660" s="21"/>
      <c r="J660" s="21"/>
    </row>
    <row r="661" spans="2:10" x14ac:dyDescent="0.35">
      <c r="B661" s="21" t="s">
        <v>27</v>
      </c>
      <c r="C661" s="21"/>
      <c r="D661" s="21"/>
      <c r="E661" s="21"/>
      <c r="G661" s="21" t="s">
        <v>27</v>
      </c>
      <c r="H661" s="21"/>
      <c r="I661" s="21"/>
      <c r="J661" s="21"/>
    </row>
    <row r="662" spans="2:10" ht="15" thickBot="1" x14ac:dyDescent="0.4">
      <c r="B662" s="21"/>
      <c r="C662" s="22"/>
      <c r="D662" s="22"/>
      <c r="E662" s="22"/>
      <c r="G662" s="21"/>
      <c r="H662" s="22"/>
      <c r="I662" s="22"/>
      <c r="J662" s="22"/>
    </row>
    <row r="663" spans="2:10" ht="15.5" thickTop="1" thickBot="1" x14ac:dyDescent="0.4">
      <c r="B663" s="21"/>
      <c r="C663" s="23" t="s">
        <v>42</v>
      </c>
      <c r="D663" s="24"/>
      <c r="E663" s="21"/>
      <c r="G663" s="21"/>
      <c r="H663" s="23" t="s">
        <v>42</v>
      </c>
      <c r="I663" s="24"/>
      <c r="J663" s="21"/>
    </row>
    <row r="664" spans="2:10" ht="15.5" thickTop="1" thickBot="1" x14ac:dyDescent="0.4">
      <c r="B664" s="21" t="s">
        <v>40</v>
      </c>
      <c r="C664" s="145" t="str">
        <f>Summary!C44</f>
        <v>Shema Christe Estella</v>
      </c>
      <c r="D664" s="145"/>
      <c r="E664" s="25"/>
      <c r="G664" s="21" t="s">
        <v>40</v>
      </c>
      <c r="H664" s="145" t="str">
        <f>Summary!C45</f>
        <v>SIBO JABO Besnik</v>
      </c>
      <c r="I664" s="145"/>
      <c r="J664" s="25"/>
    </row>
    <row r="665" spans="2:10" ht="15" thickTop="1" x14ac:dyDescent="0.35">
      <c r="B665" s="137" t="s">
        <v>43</v>
      </c>
      <c r="C665" s="139" t="s">
        <v>37</v>
      </c>
      <c r="D665" s="140"/>
      <c r="E665" s="26"/>
      <c r="G665" s="137" t="s">
        <v>43</v>
      </c>
      <c r="H665" s="139" t="s">
        <v>37</v>
      </c>
      <c r="I665" s="140"/>
      <c r="J665" s="26"/>
    </row>
    <row r="666" spans="2:10" ht="15" thickBot="1" x14ac:dyDescent="0.4">
      <c r="B666" s="138"/>
      <c r="C666" s="27" t="s">
        <v>39</v>
      </c>
      <c r="D666" s="28" t="s">
        <v>38</v>
      </c>
      <c r="E666" s="22"/>
      <c r="G666" s="138"/>
      <c r="H666" s="27" t="s">
        <v>39</v>
      </c>
      <c r="I666" s="28" t="s">
        <v>38</v>
      </c>
      <c r="J666" s="22"/>
    </row>
    <row r="667" spans="2:10" ht="15" thickTop="1" x14ac:dyDescent="0.35">
      <c r="B667" s="29" t="s">
        <v>15</v>
      </c>
      <c r="C667" s="30">
        <f t="shared" ref="C667:C672" si="35">C631</f>
        <v>60</v>
      </c>
      <c r="D667" s="31">
        <f>Summary!E44</f>
        <v>58</v>
      </c>
      <c r="E667" s="22"/>
      <c r="G667" s="29" t="s">
        <v>15</v>
      </c>
      <c r="H667" s="30">
        <f t="shared" ref="H667:H672" si="36">C667</f>
        <v>60</v>
      </c>
      <c r="I667" s="31">
        <f>Summary!E45</f>
        <v>60</v>
      </c>
      <c r="J667" s="22"/>
    </row>
    <row r="668" spans="2:10" x14ac:dyDescent="0.35">
      <c r="B668" s="29" t="s">
        <v>30</v>
      </c>
      <c r="C668" s="30">
        <f t="shared" si="35"/>
        <v>30</v>
      </c>
      <c r="D668" s="31">
        <f>Summary!G44</f>
        <v>28</v>
      </c>
      <c r="E668" s="22"/>
      <c r="G668" s="29" t="s">
        <v>30</v>
      </c>
      <c r="H668" s="30">
        <f t="shared" si="36"/>
        <v>30</v>
      </c>
      <c r="I668" s="31">
        <f>Summary!G45</f>
        <v>28</v>
      </c>
      <c r="J668" s="22"/>
    </row>
    <row r="669" spans="2:10" x14ac:dyDescent="0.35">
      <c r="B669" s="29" t="s">
        <v>4</v>
      </c>
      <c r="C669" s="30">
        <f t="shared" si="35"/>
        <v>80</v>
      </c>
      <c r="D669" s="31">
        <f>Summary!I44</f>
        <v>80</v>
      </c>
      <c r="E669" s="22"/>
      <c r="G669" s="29" t="s">
        <v>4</v>
      </c>
      <c r="H669" s="30">
        <f t="shared" si="36"/>
        <v>80</v>
      </c>
      <c r="I669" s="31">
        <f>Summary!I45</f>
        <v>80</v>
      </c>
      <c r="J669" s="22"/>
    </row>
    <row r="670" spans="2:10" x14ac:dyDescent="0.35">
      <c r="B670" s="32" t="s">
        <v>5</v>
      </c>
      <c r="C670" s="30">
        <f t="shared" si="35"/>
        <v>80</v>
      </c>
      <c r="D670" s="31">
        <f>Summary!K44</f>
        <v>80</v>
      </c>
      <c r="E670" s="22"/>
      <c r="G670" s="32" t="s">
        <v>5</v>
      </c>
      <c r="H670" s="30">
        <f t="shared" si="36"/>
        <v>80</v>
      </c>
      <c r="I670" s="31">
        <f>Summary!K45</f>
        <v>80</v>
      </c>
      <c r="J670" s="22"/>
    </row>
    <row r="671" spans="2:10" x14ac:dyDescent="0.35">
      <c r="B671" s="32" t="s">
        <v>17</v>
      </c>
      <c r="C671" s="30">
        <f t="shared" si="35"/>
        <v>30</v>
      </c>
      <c r="D671" s="31">
        <f>Summary!M44</f>
        <v>27</v>
      </c>
      <c r="E671" s="22"/>
      <c r="G671" s="32" t="s">
        <v>17</v>
      </c>
      <c r="H671" s="30">
        <f t="shared" si="36"/>
        <v>30</v>
      </c>
      <c r="I671" s="31">
        <f>Summary!M45</f>
        <v>28</v>
      </c>
      <c r="J671" s="22"/>
    </row>
    <row r="672" spans="2:10" ht="19" thickBot="1" x14ac:dyDescent="0.5">
      <c r="B672" s="32" t="s">
        <v>31</v>
      </c>
      <c r="C672" s="30">
        <f t="shared" si="35"/>
        <v>80</v>
      </c>
      <c r="D672" s="31">
        <f>Summary!O44</f>
        <v>76</v>
      </c>
      <c r="E672" s="22"/>
      <c r="G672" s="32" t="s">
        <v>31</v>
      </c>
      <c r="H672" s="30">
        <f t="shared" si="36"/>
        <v>80</v>
      </c>
      <c r="I672" s="31">
        <f>Summary!O45</f>
        <v>70</v>
      </c>
      <c r="J672" s="22"/>
    </row>
    <row r="673" spans="2:11" ht="15.5" thickTop="1" thickBot="1" x14ac:dyDescent="0.4">
      <c r="B673" s="33" t="s">
        <v>11</v>
      </c>
      <c r="C673" s="39">
        <f>SUM(C667:C672)</f>
        <v>360</v>
      </c>
      <c r="D673" s="38">
        <f>SUM(D667:D672)</f>
        <v>349</v>
      </c>
      <c r="E673" s="22"/>
      <c r="G673" s="33" t="s">
        <v>11</v>
      </c>
      <c r="H673" s="39">
        <f>SUM(H667:H672)</f>
        <v>360</v>
      </c>
      <c r="I673" s="38">
        <f>SUM(I667:I672)</f>
        <v>346</v>
      </c>
      <c r="J673" s="22"/>
    </row>
    <row r="674" spans="2:11" ht="15.5" thickTop="1" thickBot="1" x14ac:dyDescent="0.4">
      <c r="B674" s="34" t="s">
        <v>32</v>
      </c>
      <c r="C674" s="149">
        <f>D673/C673</f>
        <v>0.96944444444444444</v>
      </c>
      <c r="D674" s="150"/>
      <c r="E674" s="22"/>
      <c r="G674" s="34" t="s">
        <v>32</v>
      </c>
      <c r="H674" s="151">
        <f>I673/H673</f>
        <v>0.96111111111111114</v>
      </c>
      <c r="I674" s="150"/>
      <c r="J674" s="22"/>
    </row>
    <row r="675" spans="2:11" ht="15.5" thickTop="1" thickBot="1" x14ac:dyDescent="0.4">
      <c r="B675" s="33" t="s">
        <v>21</v>
      </c>
      <c r="C675" s="94">
        <f>Summary!S44</f>
        <v>6</v>
      </c>
      <c r="D675" s="84">
        <f>Summary!S7</f>
        <v>44</v>
      </c>
      <c r="E675" s="22"/>
      <c r="G675" s="33" t="s">
        <v>21</v>
      </c>
      <c r="H675" s="84">
        <f>Summary!S45</f>
        <v>7</v>
      </c>
      <c r="I675" s="84">
        <f>Summary!S7</f>
        <v>44</v>
      </c>
      <c r="J675" s="22"/>
    </row>
    <row r="676" spans="2:11" ht="27.5" thickTop="1" thickBot="1" x14ac:dyDescent="0.4">
      <c r="B676" s="35" t="s">
        <v>33</v>
      </c>
      <c r="C676" s="146"/>
      <c r="D676" s="144"/>
      <c r="E676" s="22"/>
      <c r="G676" s="35" t="s">
        <v>33</v>
      </c>
      <c r="H676" s="143"/>
      <c r="I676" s="144"/>
      <c r="J676" s="22"/>
    </row>
    <row r="677" spans="2:11" ht="27.5" thickTop="1" thickBot="1" x14ac:dyDescent="0.4">
      <c r="B677" s="35" t="s">
        <v>34</v>
      </c>
      <c r="C677" s="146"/>
      <c r="D677" s="147"/>
      <c r="E677" s="22"/>
      <c r="G677" s="35" t="s">
        <v>34</v>
      </c>
      <c r="H677" s="146"/>
      <c r="I677" s="147"/>
      <c r="J677" s="22"/>
    </row>
    <row r="678" spans="2:11" ht="15" thickTop="1" x14ac:dyDescent="0.35">
      <c r="B678" s="20"/>
      <c r="C678" s="19"/>
      <c r="D678" s="19"/>
      <c r="E678" s="19"/>
      <c r="G678" s="20"/>
      <c r="H678" s="19"/>
      <c r="I678" s="19"/>
      <c r="J678" s="19"/>
    </row>
    <row r="679" spans="2:11" x14ac:dyDescent="0.35">
      <c r="B679" s="148" t="s">
        <v>35</v>
      </c>
      <c r="C679" s="148"/>
      <c r="G679" s="148" t="s">
        <v>35</v>
      </c>
      <c r="H679" s="148"/>
    </row>
    <row r="680" spans="2:11" x14ac:dyDescent="0.35">
      <c r="B680" s="36" t="s">
        <v>36</v>
      </c>
      <c r="C680" s="37">
        <f>C644</f>
        <v>45975</v>
      </c>
      <c r="G680" s="36" t="s">
        <v>36</v>
      </c>
      <c r="H680" s="37">
        <f>H644</f>
        <v>45975</v>
      </c>
    </row>
    <row r="681" spans="2:11" x14ac:dyDescent="0.35">
      <c r="B681" s="20"/>
      <c r="C681" s="19"/>
      <c r="D681" s="19"/>
      <c r="E681" s="19"/>
      <c r="G681" s="20"/>
      <c r="H681" s="19"/>
      <c r="I681" s="19"/>
      <c r="J681" s="19"/>
    </row>
    <row r="682" spans="2:11" x14ac:dyDescent="0.35">
      <c r="B682" s="20"/>
      <c r="C682" s="148"/>
      <c r="D682" s="148"/>
      <c r="E682" s="148"/>
      <c r="F682" s="148"/>
      <c r="G682" s="20"/>
      <c r="H682" s="148"/>
      <c r="I682" s="148"/>
      <c r="J682" s="148"/>
      <c r="K682" s="148"/>
    </row>
    <row r="683" spans="2:11" x14ac:dyDescent="0.35">
      <c r="C683" s="148"/>
      <c r="D683" s="148"/>
      <c r="E683" s="148"/>
      <c r="F683" s="19"/>
      <c r="H683" s="148"/>
      <c r="I683" s="148"/>
      <c r="J683" s="148"/>
      <c r="K683" s="19"/>
    </row>
    <row r="685" spans="2:11" x14ac:dyDescent="0.35">
      <c r="B685" s="20"/>
      <c r="C685" s="19"/>
      <c r="D685" s="19"/>
      <c r="E685" s="19"/>
      <c r="G685" s="20"/>
      <c r="H685" s="19"/>
      <c r="I685" s="19"/>
      <c r="J685" s="19"/>
    </row>
    <row r="686" spans="2:11" x14ac:dyDescent="0.35">
      <c r="B686" s="20"/>
      <c r="C686" s="19"/>
      <c r="D686" s="19"/>
      <c r="E686" s="19"/>
      <c r="G686" s="20"/>
      <c r="H686" s="19"/>
      <c r="I686" s="19"/>
      <c r="J686" s="19"/>
    </row>
    <row r="687" spans="2:11" x14ac:dyDescent="0.35">
      <c r="B687" s="20"/>
      <c r="C687" s="19"/>
      <c r="D687" s="19"/>
      <c r="E687" s="19"/>
      <c r="G687" s="20"/>
      <c r="H687" s="19"/>
      <c r="I687" s="19"/>
      <c r="J687" s="19"/>
    </row>
    <row r="688" spans="2:11" x14ac:dyDescent="0.35">
      <c r="B688" s="20"/>
      <c r="C688" s="19"/>
      <c r="D688" s="19"/>
      <c r="E688" s="19"/>
      <c r="G688" s="20"/>
      <c r="H688" s="19"/>
      <c r="I688" s="19"/>
      <c r="J688" s="19"/>
    </row>
    <row r="689" spans="2:10" x14ac:dyDescent="0.35">
      <c r="B689" s="20"/>
      <c r="C689" s="19"/>
      <c r="D689" s="19"/>
      <c r="E689" s="19"/>
      <c r="G689" s="20"/>
      <c r="H689" s="19"/>
      <c r="I689" s="19"/>
      <c r="J689" s="19"/>
    </row>
    <row r="690" spans="2:10" x14ac:dyDescent="0.35">
      <c r="B690" s="21" t="s">
        <v>22</v>
      </c>
      <c r="C690" s="21"/>
      <c r="D690" s="21" t="s">
        <v>29</v>
      </c>
      <c r="E690" s="21" t="str">
        <f>E654</f>
        <v>2025/2026</v>
      </c>
      <c r="G690" s="21" t="s">
        <v>22</v>
      </c>
      <c r="H690" s="21"/>
      <c r="I690" s="21" t="s">
        <v>29</v>
      </c>
      <c r="J690" s="21" t="str">
        <f>E690</f>
        <v>2025/2026</v>
      </c>
    </row>
    <row r="691" spans="2:10" x14ac:dyDescent="0.35">
      <c r="B691" s="21" t="s">
        <v>23</v>
      </c>
      <c r="C691" s="21"/>
      <c r="D691" s="21"/>
      <c r="E691" s="21"/>
      <c r="G691" s="21" t="s">
        <v>23</v>
      </c>
      <c r="H691" s="21"/>
      <c r="I691" s="21"/>
      <c r="J691" s="21"/>
    </row>
    <row r="692" spans="2:10" x14ac:dyDescent="0.35">
      <c r="B692" s="21" t="s">
        <v>24</v>
      </c>
      <c r="C692" s="21"/>
      <c r="D692" s="21" t="s">
        <v>41</v>
      </c>
      <c r="E692" s="21" t="str">
        <f>E656</f>
        <v>P1-A</v>
      </c>
      <c r="G692" s="21" t="s">
        <v>24</v>
      </c>
      <c r="H692" s="21"/>
      <c r="I692" s="21" t="s">
        <v>41</v>
      </c>
      <c r="J692" s="21" t="str">
        <f>E692</f>
        <v>P1-A</v>
      </c>
    </row>
    <row r="693" spans="2:10" x14ac:dyDescent="0.35">
      <c r="B693" s="21" t="s">
        <v>25</v>
      </c>
      <c r="C693" s="21"/>
      <c r="D693" s="21"/>
      <c r="G693" s="21" t="s">
        <v>25</v>
      </c>
      <c r="H693" s="21"/>
      <c r="I693" s="21"/>
    </row>
    <row r="694" spans="2:10" x14ac:dyDescent="0.35">
      <c r="B694" s="21" t="s">
        <v>26</v>
      </c>
      <c r="C694" s="21"/>
      <c r="D694" s="21"/>
      <c r="E694" s="21"/>
      <c r="G694" s="21" t="s">
        <v>26</v>
      </c>
      <c r="H694" s="21"/>
      <c r="I694" s="21"/>
      <c r="J694" s="21"/>
    </row>
    <row r="695" spans="2:10" x14ac:dyDescent="0.35">
      <c r="B695" s="21" t="s">
        <v>9</v>
      </c>
      <c r="C695" s="21"/>
      <c r="D695" s="21" t="s">
        <v>12</v>
      </c>
      <c r="E695" s="21" t="str">
        <f>E659</f>
        <v xml:space="preserve"> INFERIEUR</v>
      </c>
      <c r="G695" s="21" t="s">
        <v>9</v>
      </c>
      <c r="H695" s="21"/>
      <c r="I695" s="21" t="s">
        <v>12</v>
      </c>
      <c r="J695" s="21" t="str">
        <f>E695</f>
        <v xml:space="preserve"> INFERIEUR</v>
      </c>
    </row>
    <row r="696" spans="2:10" x14ac:dyDescent="0.35">
      <c r="B696" s="21" t="s">
        <v>10</v>
      </c>
      <c r="C696" s="21"/>
      <c r="D696" s="21"/>
      <c r="E696" s="21"/>
      <c r="G696" s="21" t="s">
        <v>10</v>
      </c>
      <c r="H696" s="21"/>
      <c r="I696" s="21"/>
      <c r="J696" s="21"/>
    </row>
    <row r="697" spans="2:10" x14ac:dyDescent="0.35">
      <c r="B697" s="21" t="s">
        <v>27</v>
      </c>
      <c r="C697" s="21"/>
      <c r="D697" s="21"/>
      <c r="E697" s="21"/>
      <c r="G697" s="21" t="s">
        <v>27</v>
      </c>
      <c r="H697" s="21"/>
      <c r="I697" s="21"/>
      <c r="J697" s="21"/>
    </row>
    <row r="698" spans="2:10" ht="15" thickBot="1" x14ac:dyDescent="0.4">
      <c r="B698" s="21"/>
      <c r="C698" s="22"/>
      <c r="D698" s="22"/>
      <c r="E698" s="22"/>
      <c r="G698" s="21"/>
      <c r="H698" s="22"/>
      <c r="I698" s="22"/>
      <c r="J698" s="22"/>
    </row>
    <row r="699" spans="2:10" ht="15.5" thickTop="1" thickBot="1" x14ac:dyDescent="0.4">
      <c r="B699" s="21"/>
      <c r="C699" s="23" t="s">
        <v>42</v>
      </c>
      <c r="D699" s="24"/>
      <c r="E699" s="21"/>
      <c r="G699" s="21"/>
      <c r="H699" s="23" t="s">
        <v>42</v>
      </c>
      <c r="I699" s="24"/>
      <c r="J699" s="21"/>
    </row>
    <row r="700" spans="2:10" ht="15.5" thickTop="1" thickBot="1" x14ac:dyDescent="0.4">
      <c r="B700" s="21" t="s">
        <v>40</v>
      </c>
      <c r="C700" s="145" t="str">
        <f>Summary!C46</f>
        <v>TETERO NIMWIZA Iris</v>
      </c>
      <c r="D700" s="145"/>
      <c r="E700" s="25"/>
      <c r="G700" s="21" t="s">
        <v>40</v>
      </c>
      <c r="H700" s="145" t="str">
        <f>Summary!C47</f>
        <v>UMULISA Promesse</v>
      </c>
      <c r="I700" s="145"/>
      <c r="J700" s="25"/>
    </row>
    <row r="701" spans="2:10" ht="15" thickTop="1" x14ac:dyDescent="0.35">
      <c r="B701" s="137" t="s">
        <v>43</v>
      </c>
      <c r="C701" s="139" t="s">
        <v>37</v>
      </c>
      <c r="D701" s="140"/>
      <c r="E701" s="26"/>
      <c r="G701" s="137" t="s">
        <v>43</v>
      </c>
      <c r="H701" s="139" t="s">
        <v>37</v>
      </c>
      <c r="I701" s="140"/>
      <c r="J701" s="26"/>
    </row>
    <row r="702" spans="2:10" ht="15" thickBot="1" x14ac:dyDescent="0.4">
      <c r="B702" s="138"/>
      <c r="C702" s="27" t="s">
        <v>39</v>
      </c>
      <c r="D702" s="28" t="s">
        <v>38</v>
      </c>
      <c r="E702" s="22"/>
      <c r="G702" s="138"/>
      <c r="H702" s="27" t="s">
        <v>39</v>
      </c>
      <c r="I702" s="28" t="s">
        <v>38</v>
      </c>
      <c r="J702" s="22"/>
    </row>
    <row r="703" spans="2:10" ht="15" thickTop="1" x14ac:dyDescent="0.35">
      <c r="B703" s="29" t="s">
        <v>15</v>
      </c>
      <c r="C703" s="30">
        <f t="shared" ref="C703:C708" si="37">C667</f>
        <v>60</v>
      </c>
      <c r="D703" s="31">
        <f>Summary!E46</f>
        <v>58</v>
      </c>
      <c r="E703" s="22"/>
      <c r="G703" s="29" t="s">
        <v>15</v>
      </c>
      <c r="H703" s="30">
        <f t="shared" ref="H703:H708" si="38">C703</f>
        <v>60</v>
      </c>
      <c r="I703" s="31">
        <f>Summary!E47</f>
        <v>58</v>
      </c>
      <c r="J703" s="22"/>
    </row>
    <row r="704" spans="2:10" x14ac:dyDescent="0.35">
      <c r="B704" s="29" t="s">
        <v>30</v>
      </c>
      <c r="C704" s="30">
        <f t="shared" si="37"/>
        <v>30</v>
      </c>
      <c r="D704" s="31">
        <f>Summary!G46</f>
        <v>23</v>
      </c>
      <c r="E704" s="22"/>
      <c r="G704" s="29" t="s">
        <v>30</v>
      </c>
      <c r="H704" s="30">
        <f t="shared" si="38"/>
        <v>30</v>
      </c>
      <c r="I704" s="31">
        <f>Summary!G47</f>
        <v>22</v>
      </c>
      <c r="J704" s="22"/>
    </row>
    <row r="705" spans="2:11" x14ac:dyDescent="0.35">
      <c r="B705" s="29" t="s">
        <v>4</v>
      </c>
      <c r="C705" s="30">
        <f t="shared" si="37"/>
        <v>80</v>
      </c>
      <c r="D705" s="31">
        <f>Summary!I46</f>
        <v>72</v>
      </c>
      <c r="E705" s="22"/>
      <c r="G705" s="29" t="s">
        <v>4</v>
      </c>
      <c r="H705" s="30">
        <f t="shared" si="38"/>
        <v>80</v>
      </c>
      <c r="I705" s="31">
        <f>Summary!I47</f>
        <v>80</v>
      </c>
      <c r="J705" s="22"/>
    </row>
    <row r="706" spans="2:11" x14ac:dyDescent="0.35">
      <c r="B706" s="32" t="s">
        <v>5</v>
      </c>
      <c r="C706" s="30">
        <f t="shared" si="37"/>
        <v>80</v>
      </c>
      <c r="D706" s="31">
        <f>Summary!K46</f>
        <v>68</v>
      </c>
      <c r="E706" s="22"/>
      <c r="G706" s="32" t="s">
        <v>5</v>
      </c>
      <c r="H706" s="30">
        <f t="shared" si="38"/>
        <v>80</v>
      </c>
      <c r="I706" s="31">
        <f>Summary!K47</f>
        <v>68</v>
      </c>
      <c r="J706" s="22"/>
    </row>
    <row r="707" spans="2:11" x14ac:dyDescent="0.35">
      <c r="B707" s="32" t="s">
        <v>17</v>
      </c>
      <c r="C707" s="30">
        <f t="shared" si="37"/>
        <v>30</v>
      </c>
      <c r="D707" s="31">
        <f>Summary!M46</f>
        <v>24</v>
      </c>
      <c r="E707" s="22"/>
      <c r="G707" s="32" t="s">
        <v>17</v>
      </c>
      <c r="H707" s="30">
        <f t="shared" si="38"/>
        <v>30</v>
      </c>
      <c r="I707" s="31">
        <f>Summary!M47</f>
        <v>21</v>
      </c>
      <c r="J707" s="22"/>
    </row>
    <row r="708" spans="2:11" ht="19" thickBot="1" x14ac:dyDescent="0.5">
      <c r="B708" s="32" t="s">
        <v>31</v>
      </c>
      <c r="C708" s="30">
        <f t="shared" si="37"/>
        <v>80</v>
      </c>
      <c r="D708" s="31">
        <f>Summary!O46</f>
        <v>60</v>
      </c>
      <c r="E708" s="22"/>
      <c r="G708" s="32" t="s">
        <v>31</v>
      </c>
      <c r="H708" s="30">
        <f t="shared" si="38"/>
        <v>80</v>
      </c>
      <c r="I708" s="31">
        <f>Summary!O47</f>
        <v>60</v>
      </c>
      <c r="J708" s="22"/>
    </row>
    <row r="709" spans="2:11" ht="15.5" thickTop="1" thickBot="1" x14ac:dyDescent="0.4">
      <c r="B709" s="33" t="s">
        <v>11</v>
      </c>
      <c r="C709" s="39">
        <f>SUM(C703:C708)</f>
        <v>360</v>
      </c>
      <c r="D709" s="38">
        <f>SUM(D703:D708)</f>
        <v>305</v>
      </c>
      <c r="E709" s="22"/>
      <c r="G709" s="33" t="s">
        <v>11</v>
      </c>
      <c r="H709" s="39">
        <f>SUM(H703:H708)</f>
        <v>360</v>
      </c>
      <c r="I709" s="38">
        <f>SUM(I703:I708)</f>
        <v>309</v>
      </c>
      <c r="J709" s="22"/>
    </row>
    <row r="710" spans="2:11" ht="15.5" thickTop="1" thickBot="1" x14ac:dyDescent="0.4">
      <c r="B710" s="34" t="s">
        <v>32</v>
      </c>
      <c r="C710" s="151">
        <f>D709/C709</f>
        <v>0.84722222222222221</v>
      </c>
      <c r="D710" s="150"/>
      <c r="E710" s="22"/>
      <c r="G710" s="34" t="s">
        <v>32</v>
      </c>
      <c r="H710" s="151">
        <f>I709/H709</f>
        <v>0.85833333333333328</v>
      </c>
      <c r="I710" s="150"/>
      <c r="J710" s="22"/>
    </row>
    <row r="711" spans="2:11" ht="15.5" thickTop="1" thickBot="1" x14ac:dyDescent="0.4">
      <c r="B711" s="33" t="s">
        <v>21</v>
      </c>
      <c r="C711" s="84">
        <f>Summary!S46</f>
        <v>26</v>
      </c>
      <c r="D711" s="84">
        <f>Summary!S7</f>
        <v>44</v>
      </c>
      <c r="E711" s="22"/>
      <c r="G711" s="33" t="s">
        <v>21</v>
      </c>
      <c r="H711" s="84">
        <f>Summary!S47</f>
        <v>23</v>
      </c>
      <c r="I711" s="84">
        <f>Summary!S7</f>
        <v>44</v>
      </c>
      <c r="J711" s="22"/>
    </row>
    <row r="712" spans="2:11" ht="27.5" thickTop="1" thickBot="1" x14ac:dyDescent="0.4">
      <c r="B712" s="35" t="s">
        <v>33</v>
      </c>
      <c r="C712" s="143"/>
      <c r="D712" s="144"/>
      <c r="E712" s="22"/>
      <c r="G712" s="35" t="s">
        <v>33</v>
      </c>
      <c r="H712" s="143"/>
      <c r="I712" s="144"/>
      <c r="J712" s="22"/>
    </row>
    <row r="713" spans="2:11" ht="27.5" thickTop="1" thickBot="1" x14ac:dyDescent="0.4">
      <c r="B713" s="35" t="s">
        <v>34</v>
      </c>
      <c r="C713" s="146"/>
      <c r="D713" s="147"/>
      <c r="E713" s="22"/>
      <c r="G713" s="35" t="s">
        <v>34</v>
      </c>
      <c r="H713" s="146"/>
      <c r="I713" s="147"/>
      <c r="J713" s="22"/>
    </row>
    <row r="714" spans="2:11" ht="15" thickTop="1" x14ac:dyDescent="0.35">
      <c r="B714" s="20"/>
      <c r="C714" s="19"/>
      <c r="D714" s="19"/>
      <c r="E714" s="19"/>
      <c r="G714" s="20"/>
      <c r="H714" s="19"/>
      <c r="I714" s="19"/>
      <c r="J714" s="19"/>
    </row>
    <row r="715" spans="2:11" x14ac:dyDescent="0.35">
      <c r="B715" s="148" t="s">
        <v>35</v>
      </c>
      <c r="C715" s="148"/>
      <c r="G715" s="148" t="s">
        <v>35</v>
      </c>
      <c r="H715" s="148"/>
    </row>
    <row r="716" spans="2:11" x14ac:dyDescent="0.35">
      <c r="B716" s="36" t="s">
        <v>36</v>
      </c>
      <c r="C716" s="37">
        <f>C680</f>
        <v>45975</v>
      </c>
      <c r="G716" s="36" t="s">
        <v>36</v>
      </c>
      <c r="H716" s="37">
        <f>H680</f>
        <v>45975</v>
      </c>
    </row>
    <row r="717" spans="2:11" x14ac:dyDescent="0.35">
      <c r="B717" s="20"/>
      <c r="C717" s="19"/>
      <c r="D717" s="19"/>
      <c r="E717" s="19"/>
      <c r="G717" s="20"/>
      <c r="H717" s="19"/>
      <c r="I717" s="19"/>
      <c r="J717" s="19"/>
    </row>
    <row r="718" spans="2:11" x14ac:dyDescent="0.35">
      <c r="B718" s="20"/>
      <c r="C718" s="148"/>
      <c r="D718" s="148"/>
      <c r="E718" s="148"/>
      <c r="F718" s="148"/>
      <c r="G718" s="20"/>
      <c r="H718" s="148"/>
      <c r="I718" s="148"/>
      <c r="J718" s="148"/>
      <c r="K718" s="148"/>
    </row>
    <row r="719" spans="2:11" x14ac:dyDescent="0.35">
      <c r="C719" s="148"/>
      <c r="D719" s="148"/>
      <c r="E719" s="148"/>
      <c r="F719" s="19"/>
      <c r="H719" s="148"/>
      <c r="I719" s="148"/>
      <c r="J719" s="148"/>
      <c r="K719" s="19"/>
    </row>
    <row r="721" spans="2:10" x14ac:dyDescent="0.35">
      <c r="B721" s="20"/>
      <c r="C721" s="19"/>
      <c r="D721" s="19"/>
      <c r="E721" s="19"/>
      <c r="G721" s="20"/>
      <c r="H721" s="19"/>
      <c r="I721" s="19"/>
      <c r="J721" s="19"/>
    </row>
    <row r="722" spans="2:10" x14ac:dyDescent="0.35">
      <c r="B722" s="20"/>
      <c r="C722" s="19"/>
      <c r="D722" s="19"/>
      <c r="E722" s="19"/>
      <c r="G722" s="20"/>
      <c r="H722" s="19"/>
      <c r="I722" s="19"/>
      <c r="J722" s="19"/>
    </row>
    <row r="723" spans="2:10" x14ac:dyDescent="0.35">
      <c r="B723" s="20"/>
      <c r="C723" s="19"/>
      <c r="D723" s="19"/>
      <c r="E723" s="19"/>
      <c r="G723" s="20"/>
      <c r="H723" s="19"/>
      <c r="I723" s="19"/>
      <c r="J723" s="19"/>
    </row>
    <row r="724" spans="2:10" x14ac:dyDescent="0.35">
      <c r="B724" s="20"/>
      <c r="C724" s="19"/>
      <c r="D724" s="19"/>
      <c r="E724" s="19"/>
      <c r="G724" s="20"/>
      <c r="H724" s="19"/>
      <c r="I724" s="19"/>
      <c r="J724" s="19"/>
    </row>
    <row r="725" spans="2:10" x14ac:dyDescent="0.35">
      <c r="B725" s="20"/>
      <c r="C725" s="19"/>
      <c r="D725" s="19"/>
      <c r="E725" s="19"/>
      <c r="G725" s="20"/>
      <c r="H725" s="19"/>
      <c r="I725" s="19"/>
      <c r="J725" s="19"/>
    </row>
    <row r="726" spans="2:10" x14ac:dyDescent="0.35">
      <c r="B726" s="21" t="s">
        <v>22</v>
      </c>
      <c r="C726" s="21"/>
      <c r="D726" s="21" t="s">
        <v>29</v>
      </c>
      <c r="E726" s="21" t="str">
        <f>E690</f>
        <v>2025/2026</v>
      </c>
      <c r="G726" s="21" t="s">
        <v>22</v>
      </c>
      <c r="H726" s="21"/>
      <c r="I726" s="21" t="s">
        <v>29</v>
      </c>
      <c r="J726" s="21" t="str">
        <f>E726</f>
        <v>2025/2026</v>
      </c>
    </row>
    <row r="727" spans="2:10" x14ac:dyDescent="0.35">
      <c r="B727" s="21" t="s">
        <v>23</v>
      </c>
      <c r="C727" s="21"/>
      <c r="D727" s="21"/>
      <c r="E727" s="21"/>
      <c r="G727" s="21" t="s">
        <v>23</v>
      </c>
      <c r="H727" s="21"/>
      <c r="I727" s="21"/>
      <c r="J727" s="21"/>
    </row>
    <row r="728" spans="2:10" x14ac:dyDescent="0.35">
      <c r="B728" s="21" t="s">
        <v>24</v>
      </c>
      <c r="C728" s="21"/>
      <c r="D728" s="21" t="s">
        <v>41</v>
      </c>
      <c r="E728" s="21" t="str">
        <f>E692</f>
        <v>P1-A</v>
      </c>
      <c r="G728" s="21" t="s">
        <v>24</v>
      </c>
      <c r="H728" s="21"/>
      <c r="I728" s="21" t="s">
        <v>41</v>
      </c>
      <c r="J728" s="21" t="str">
        <f>E728</f>
        <v>P1-A</v>
      </c>
    </row>
    <row r="729" spans="2:10" x14ac:dyDescent="0.35">
      <c r="B729" s="21" t="s">
        <v>25</v>
      </c>
      <c r="C729" s="21"/>
      <c r="D729" s="21"/>
      <c r="G729" s="21" t="s">
        <v>25</v>
      </c>
      <c r="H729" s="21"/>
      <c r="I729" s="21"/>
    </row>
    <row r="730" spans="2:10" x14ac:dyDescent="0.35">
      <c r="B730" s="21" t="s">
        <v>26</v>
      </c>
      <c r="C730" s="21"/>
      <c r="D730" s="21"/>
      <c r="E730" s="21"/>
      <c r="G730" s="21" t="s">
        <v>26</v>
      </c>
      <c r="H730" s="21"/>
      <c r="I730" s="21"/>
      <c r="J730" s="21"/>
    </row>
    <row r="731" spans="2:10" x14ac:dyDescent="0.35">
      <c r="B731" s="21" t="s">
        <v>9</v>
      </c>
      <c r="C731" s="21"/>
      <c r="D731" s="21" t="s">
        <v>12</v>
      </c>
      <c r="E731" s="21" t="str">
        <f>E695</f>
        <v xml:space="preserve"> INFERIEUR</v>
      </c>
      <c r="G731" s="21" t="s">
        <v>9</v>
      </c>
      <c r="H731" s="21"/>
      <c r="I731" s="21" t="s">
        <v>12</v>
      </c>
      <c r="J731" s="21" t="str">
        <f>E731</f>
        <v xml:space="preserve"> INFERIEUR</v>
      </c>
    </row>
    <row r="732" spans="2:10" x14ac:dyDescent="0.35">
      <c r="B732" s="21" t="s">
        <v>10</v>
      </c>
      <c r="C732" s="21"/>
      <c r="D732" s="21"/>
      <c r="E732" s="21"/>
      <c r="G732" s="21" t="s">
        <v>10</v>
      </c>
      <c r="H732" s="21"/>
      <c r="I732" s="21"/>
      <c r="J732" s="21"/>
    </row>
    <row r="733" spans="2:10" x14ac:dyDescent="0.35">
      <c r="B733" s="21" t="s">
        <v>27</v>
      </c>
      <c r="C733" s="21"/>
      <c r="D733" s="21"/>
      <c r="E733" s="21"/>
      <c r="G733" s="21" t="s">
        <v>27</v>
      </c>
      <c r="H733" s="21"/>
      <c r="I733" s="21"/>
      <c r="J733" s="21"/>
    </row>
    <row r="734" spans="2:10" ht="15" thickBot="1" x14ac:dyDescent="0.4">
      <c r="B734" s="21"/>
      <c r="C734" s="22"/>
      <c r="D734" s="22"/>
      <c r="E734" s="22"/>
      <c r="G734" s="21"/>
      <c r="H734" s="22"/>
      <c r="I734" s="22"/>
      <c r="J734" s="22"/>
    </row>
    <row r="735" spans="2:10" ht="15.5" thickTop="1" thickBot="1" x14ac:dyDescent="0.4">
      <c r="B735" s="21"/>
      <c r="C735" s="23" t="s">
        <v>42</v>
      </c>
      <c r="D735" s="24"/>
      <c r="E735" s="21"/>
      <c r="G735" s="21"/>
      <c r="H735" s="23" t="s">
        <v>42</v>
      </c>
      <c r="I735" s="24"/>
      <c r="J735" s="21"/>
    </row>
    <row r="736" spans="2:10" ht="15.5" thickTop="1" thickBot="1" x14ac:dyDescent="0.4">
      <c r="B736" s="21" t="s">
        <v>40</v>
      </c>
      <c r="C736" s="145" t="str">
        <f>Summary!C48</f>
        <v>UMURERWA Believe</v>
      </c>
      <c r="D736" s="145"/>
      <c r="E736" s="25"/>
      <c r="G736" s="21" t="s">
        <v>40</v>
      </c>
      <c r="H736" s="145" t="str">
        <f>Summary!C49</f>
        <v>UMWIZA IKIREZI Daisy</v>
      </c>
      <c r="I736" s="145"/>
      <c r="J736" s="25"/>
    </row>
    <row r="737" spans="2:10" ht="15" thickTop="1" x14ac:dyDescent="0.35">
      <c r="B737" s="137" t="s">
        <v>43</v>
      </c>
      <c r="C737" s="139" t="s">
        <v>37</v>
      </c>
      <c r="D737" s="140"/>
      <c r="E737" s="26"/>
      <c r="G737" s="137" t="s">
        <v>43</v>
      </c>
      <c r="H737" s="139" t="s">
        <v>37</v>
      </c>
      <c r="I737" s="140"/>
      <c r="J737" s="26"/>
    </row>
    <row r="738" spans="2:10" ht="15" thickBot="1" x14ac:dyDescent="0.4">
      <c r="B738" s="138"/>
      <c r="C738" s="27" t="s">
        <v>39</v>
      </c>
      <c r="D738" s="28" t="s">
        <v>38</v>
      </c>
      <c r="E738" s="22"/>
      <c r="G738" s="138"/>
      <c r="H738" s="27" t="s">
        <v>39</v>
      </c>
      <c r="I738" s="28" t="s">
        <v>38</v>
      </c>
      <c r="J738" s="22"/>
    </row>
    <row r="739" spans="2:10" ht="15" thickTop="1" x14ac:dyDescent="0.35">
      <c r="B739" s="29" t="s">
        <v>15</v>
      </c>
      <c r="C739" s="30">
        <f t="shared" ref="C739:C744" si="39">C703</f>
        <v>60</v>
      </c>
      <c r="D739" s="31">
        <f>Summary!E48</f>
        <v>55</v>
      </c>
      <c r="E739" s="22"/>
      <c r="G739" s="29" t="s">
        <v>15</v>
      </c>
      <c r="H739" s="30">
        <f t="shared" ref="H739:H744" si="40">C739</f>
        <v>60</v>
      </c>
      <c r="I739" s="31">
        <f>Summary!E49</f>
        <v>53</v>
      </c>
      <c r="J739" s="22"/>
    </row>
    <row r="740" spans="2:10" x14ac:dyDescent="0.35">
      <c r="B740" s="29" t="s">
        <v>30</v>
      </c>
      <c r="C740" s="30">
        <f t="shared" si="39"/>
        <v>30</v>
      </c>
      <c r="D740" s="31">
        <f>Summary!G48</f>
        <v>17</v>
      </c>
      <c r="E740" s="22"/>
      <c r="G740" s="29" t="s">
        <v>30</v>
      </c>
      <c r="H740" s="30">
        <f t="shared" si="40"/>
        <v>30</v>
      </c>
      <c r="I740" s="31">
        <f>Summary!G49</f>
        <v>27</v>
      </c>
      <c r="J740" s="22"/>
    </row>
    <row r="741" spans="2:10" x14ac:dyDescent="0.35">
      <c r="B741" s="29" t="s">
        <v>4</v>
      </c>
      <c r="C741" s="30">
        <f t="shared" si="39"/>
        <v>80</v>
      </c>
      <c r="D741" s="31">
        <f>Summary!I48</f>
        <v>80</v>
      </c>
      <c r="E741" s="22"/>
      <c r="G741" s="29" t="s">
        <v>4</v>
      </c>
      <c r="H741" s="30">
        <f t="shared" si="40"/>
        <v>80</v>
      </c>
      <c r="I741" s="31">
        <f>Summary!I49</f>
        <v>54</v>
      </c>
      <c r="J741" s="22"/>
    </row>
    <row r="742" spans="2:10" x14ac:dyDescent="0.35">
      <c r="B742" s="32" t="s">
        <v>5</v>
      </c>
      <c r="C742" s="30">
        <f t="shared" si="39"/>
        <v>80</v>
      </c>
      <c r="D742" s="31">
        <f>Summary!K48</f>
        <v>74</v>
      </c>
      <c r="E742" s="22"/>
      <c r="G742" s="32" t="s">
        <v>5</v>
      </c>
      <c r="H742" s="30">
        <f t="shared" si="40"/>
        <v>80</v>
      </c>
      <c r="I742" s="31">
        <f>Summary!K49</f>
        <v>70</v>
      </c>
      <c r="J742" s="22"/>
    </row>
    <row r="743" spans="2:10" x14ac:dyDescent="0.35">
      <c r="B743" s="32" t="s">
        <v>17</v>
      </c>
      <c r="C743" s="30">
        <f t="shared" si="39"/>
        <v>30</v>
      </c>
      <c r="D743" s="31">
        <f>Summary!M48</f>
        <v>25</v>
      </c>
      <c r="E743" s="22"/>
      <c r="G743" s="32" t="s">
        <v>17</v>
      </c>
      <c r="H743" s="30">
        <f t="shared" si="40"/>
        <v>30</v>
      </c>
      <c r="I743" s="31">
        <f>Summary!M49</f>
        <v>29</v>
      </c>
      <c r="J743" s="22"/>
    </row>
    <row r="744" spans="2:10" ht="19" thickBot="1" x14ac:dyDescent="0.5">
      <c r="B744" s="32" t="s">
        <v>31</v>
      </c>
      <c r="C744" s="30">
        <f t="shared" si="39"/>
        <v>80</v>
      </c>
      <c r="D744" s="31">
        <f>Summary!O48</f>
        <v>76</v>
      </c>
      <c r="E744" s="22"/>
      <c r="G744" s="32" t="s">
        <v>31</v>
      </c>
      <c r="H744" s="30">
        <f t="shared" si="40"/>
        <v>80</v>
      </c>
      <c r="I744" s="31">
        <f>Summary!O49</f>
        <v>58</v>
      </c>
      <c r="J744" s="22"/>
    </row>
    <row r="745" spans="2:10" ht="15.5" thickTop="1" thickBot="1" x14ac:dyDescent="0.4">
      <c r="B745" s="33" t="s">
        <v>11</v>
      </c>
      <c r="C745" s="39">
        <f>SUM(C739:C744)</f>
        <v>360</v>
      </c>
      <c r="D745" s="38">
        <f>SUM(D739:D744)</f>
        <v>327</v>
      </c>
      <c r="E745" s="22"/>
      <c r="G745" s="33" t="s">
        <v>11</v>
      </c>
      <c r="H745" s="39">
        <f>SUM(H739:H744)</f>
        <v>360</v>
      </c>
      <c r="I745" s="38">
        <f>SUM(I739:I744)</f>
        <v>291</v>
      </c>
      <c r="J745" s="22"/>
    </row>
    <row r="746" spans="2:10" ht="15.5" thickTop="1" thickBot="1" x14ac:dyDescent="0.4">
      <c r="B746" s="34" t="s">
        <v>32</v>
      </c>
      <c r="C746" s="149">
        <f>D745/C745</f>
        <v>0.90833333333333333</v>
      </c>
      <c r="D746" s="150"/>
      <c r="E746" s="22"/>
      <c r="G746" s="34" t="s">
        <v>32</v>
      </c>
      <c r="H746" s="151">
        <f>I745/H745</f>
        <v>0.80833333333333335</v>
      </c>
      <c r="I746" s="150"/>
      <c r="J746" s="22"/>
    </row>
    <row r="747" spans="2:10" ht="15.5" thickTop="1" thickBot="1" x14ac:dyDescent="0.4">
      <c r="B747" s="33" t="s">
        <v>21</v>
      </c>
      <c r="C747" s="94">
        <f>Summary!S48</f>
        <v>15</v>
      </c>
      <c r="D747" s="95">
        <f>Summary!S7</f>
        <v>44</v>
      </c>
      <c r="E747" s="22"/>
      <c r="G747" s="33" t="s">
        <v>21</v>
      </c>
      <c r="H747" s="84">
        <f>Summary!S49</f>
        <v>34</v>
      </c>
      <c r="I747" s="84">
        <f>Summary!S7</f>
        <v>44</v>
      </c>
      <c r="J747" s="22"/>
    </row>
    <row r="748" spans="2:10" ht="27.5" thickTop="1" thickBot="1" x14ac:dyDescent="0.4">
      <c r="B748" s="35" t="s">
        <v>33</v>
      </c>
      <c r="C748" s="146"/>
      <c r="D748" s="144"/>
      <c r="E748" s="22"/>
      <c r="G748" s="35" t="s">
        <v>33</v>
      </c>
      <c r="H748" s="152"/>
      <c r="I748" s="152"/>
      <c r="J748" s="22"/>
    </row>
    <row r="749" spans="2:10" ht="27.5" thickTop="1" thickBot="1" x14ac:dyDescent="0.4">
      <c r="B749" s="35" t="s">
        <v>34</v>
      </c>
      <c r="C749" s="146"/>
      <c r="D749" s="147"/>
      <c r="E749" s="22"/>
      <c r="G749" s="35" t="s">
        <v>34</v>
      </c>
      <c r="H749" s="143"/>
      <c r="I749" s="144"/>
      <c r="J749" s="22"/>
    </row>
    <row r="750" spans="2:10" ht="15" thickTop="1" x14ac:dyDescent="0.35">
      <c r="B750" s="20"/>
      <c r="C750" s="19"/>
      <c r="D750" s="19"/>
      <c r="E750" s="19"/>
      <c r="G750" s="20"/>
      <c r="H750" s="19"/>
      <c r="I750" s="19"/>
      <c r="J750" s="19"/>
    </row>
    <row r="751" spans="2:10" x14ac:dyDescent="0.35">
      <c r="B751" s="148" t="s">
        <v>35</v>
      </c>
      <c r="C751" s="148"/>
      <c r="G751" s="148" t="s">
        <v>35</v>
      </c>
      <c r="H751" s="148"/>
    </row>
    <row r="752" spans="2:10" x14ac:dyDescent="0.35">
      <c r="B752" s="36" t="s">
        <v>36</v>
      </c>
      <c r="C752" s="37">
        <f>C716</f>
        <v>45975</v>
      </c>
      <c r="G752" s="36" t="s">
        <v>36</v>
      </c>
      <c r="H752" s="37">
        <f>H716</f>
        <v>45975</v>
      </c>
    </row>
    <row r="753" spans="2:11" x14ac:dyDescent="0.35">
      <c r="B753" s="20"/>
      <c r="C753" s="19"/>
      <c r="D753" s="19"/>
      <c r="E753" s="19"/>
      <c r="G753" s="20"/>
      <c r="H753" s="19"/>
      <c r="I753" s="19"/>
      <c r="J753" s="19"/>
    </row>
    <row r="754" spans="2:11" x14ac:dyDescent="0.35">
      <c r="B754" s="20"/>
      <c r="C754" s="148"/>
      <c r="D754" s="148"/>
      <c r="E754" s="148"/>
      <c r="F754" s="148"/>
      <c r="G754" s="20"/>
      <c r="H754" s="148"/>
      <c r="I754" s="148"/>
      <c r="J754" s="148"/>
      <c r="K754" s="148"/>
    </row>
    <row r="755" spans="2:11" x14ac:dyDescent="0.35">
      <c r="C755" s="148"/>
      <c r="D755" s="148"/>
      <c r="E755" s="148"/>
      <c r="F755" s="19"/>
      <c r="H755" s="148"/>
      <c r="I755" s="148"/>
      <c r="J755" s="148"/>
      <c r="K755" s="19"/>
    </row>
    <row r="757" spans="2:11" x14ac:dyDescent="0.35">
      <c r="B757" s="20"/>
      <c r="C757" s="19"/>
      <c r="D757" s="19"/>
      <c r="E757" s="19"/>
      <c r="G757" s="20"/>
      <c r="H757" s="19"/>
      <c r="I757" s="19"/>
      <c r="J757" s="19"/>
    </row>
    <row r="758" spans="2:11" x14ac:dyDescent="0.35">
      <c r="B758" s="20"/>
      <c r="C758" s="19"/>
      <c r="D758" s="19"/>
      <c r="E758" s="19"/>
      <c r="G758" s="20"/>
      <c r="H758" s="19"/>
      <c r="I758" s="19"/>
      <c r="J758" s="19"/>
    </row>
    <row r="759" spans="2:11" x14ac:dyDescent="0.35">
      <c r="B759" s="20"/>
      <c r="C759" s="19"/>
      <c r="D759" s="19"/>
      <c r="E759" s="19"/>
      <c r="G759" s="20"/>
      <c r="H759" s="19"/>
      <c r="I759" s="19"/>
      <c r="J759" s="19"/>
    </row>
    <row r="760" spans="2:11" x14ac:dyDescent="0.35">
      <c r="B760" s="20"/>
      <c r="C760" s="19"/>
      <c r="D760" s="19"/>
      <c r="E760" s="19"/>
      <c r="G760" s="20"/>
      <c r="H760" s="19"/>
      <c r="I760" s="19"/>
      <c r="J760" s="19"/>
    </row>
    <row r="761" spans="2:11" x14ac:dyDescent="0.35">
      <c r="B761" s="20"/>
      <c r="C761" s="19"/>
      <c r="D761" s="19"/>
      <c r="E761" s="19"/>
      <c r="G761" s="20"/>
      <c r="H761" s="19"/>
      <c r="I761" s="19"/>
      <c r="J761" s="19"/>
    </row>
    <row r="762" spans="2:11" x14ac:dyDescent="0.35">
      <c r="B762" s="21" t="s">
        <v>22</v>
      </c>
      <c r="C762" s="21"/>
      <c r="D762" s="21" t="s">
        <v>29</v>
      </c>
      <c r="E762" s="21" t="str">
        <f>E726</f>
        <v>2025/2026</v>
      </c>
      <c r="G762" s="21" t="s">
        <v>22</v>
      </c>
      <c r="H762" s="21"/>
      <c r="I762" s="21" t="s">
        <v>29</v>
      </c>
      <c r="J762" s="21" t="str">
        <f>E762</f>
        <v>2025/2026</v>
      </c>
    </row>
    <row r="763" spans="2:11" x14ac:dyDescent="0.35">
      <c r="B763" s="21" t="s">
        <v>23</v>
      </c>
      <c r="C763" s="21"/>
      <c r="D763" s="21"/>
      <c r="E763" s="21"/>
      <c r="G763" s="21" t="s">
        <v>23</v>
      </c>
      <c r="H763" s="21"/>
      <c r="I763" s="21"/>
      <c r="J763" s="21"/>
    </row>
    <row r="764" spans="2:11" x14ac:dyDescent="0.35">
      <c r="B764" s="21" t="s">
        <v>24</v>
      </c>
      <c r="C764" s="21"/>
      <c r="D764" s="21" t="s">
        <v>41</v>
      </c>
      <c r="E764" s="21" t="str">
        <f>E728</f>
        <v>P1-A</v>
      </c>
      <c r="G764" s="21" t="s">
        <v>24</v>
      </c>
      <c r="H764" s="21"/>
      <c r="I764" s="21" t="s">
        <v>28</v>
      </c>
      <c r="J764" s="21" t="str">
        <f>E764</f>
        <v>P1-A</v>
      </c>
    </row>
    <row r="765" spans="2:11" x14ac:dyDescent="0.35">
      <c r="B765" s="21" t="s">
        <v>25</v>
      </c>
      <c r="C765" s="21"/>
      <c r="D765" s="21"/>
      <c r="G765" s="21" t="s">
        <v>25</v>
      </c>
      <c r="H765" s="21"/>
      <c r="I765" s="21"/>
    </row>
    <row r="766" spans="2:11" x14ac:dyDescent="0.35">
      <c r="B766" s="21" t="s">
        <v>26</v>
      </c>
      <c r="C766" s="21"/>
      <c r="D766" s="21"/>
      <c r="E766" s="21"/>
      <c r="G766" s="21" t="s">
        <v>26</v>
      </c>
      <c r="H766" s="21"/>
      <c r="I766" s="21"/>
      <c r="J766" s="21"/>
    </row>
    <row r="767" spans="2:11" x14ac:dyDescent="0.35">
      <c r="B767" s="21" t="s">
        <v>9</v>
      </c>
      <c r="C767" s="21"/>
      <c r="D767" s="21" t="s">
        <v>12</v>
      </c>
      <c r="E767" s="21" t="str">
        <f>E731</f>
        <v xml:space="preserve"> INFERIEUR</v>
      </c>
      <c r="G767" s="21" t="s">
        <v>9</v>
      </c>
      <c r="H767" s="21"/>
      <c r="I767" s="21" t="s">
        <v>14</v>
      </c>
      <c r="J767" s="21" t="str">
        <f>E767</f>
        <v xml:space="preserve"> INFERIEUR</v>
      </c>
    </row>
    <row r="768" spans="2:11" x14ac:dyDescent="0.35">
      <c r="B768" s="21" t="s">
        <v>10</v>
      </c>
      <c r="C768" s="21"/>
      <c r="D768" s="21"/>
      <c r="E768" s="21"/>
      <c r="G768" s="21" t="s">
        <v>10</v>
      </c>
      <c r="H768" s="21"/>
      <c r="I768" s="21"/>
      <c r="J768" s="21"/>
    </row>
    <row r="769" spans="2:10" x14ac:dyDescent="0.35">
      <c r="B769" s="21" t="s">
        <v>27</v>
      </c>
      <c r="C769" s="21"/>
      <c r="D769" s="21"/>
      <c r="E769" s="21"/>
      <c r="G769" s="21" t="s">
        <v>27</v>
      </c>
      <c r="H769" s="21"/>
      <c r="I769" s="21"/>
      <c r="J769" s="21"/>
    </row>
    <row r="770" spans="2:10" ht="15" thickBot="1" x14ac:dyDescent="0.4">
      <c r="B770" s="21"/>
      <c r="C770" s="22"/>
      <c r="D770" s="22"/>
      <c r="E770" s="22"/>
      <c r="G770" s="21"/>
      <c r="H770" s="22"/>
      <c r="I770" s="22"/>
      <c r="J770" s="22"/>
    </row>
    <row r="771" spans="2:10" ht="15.5" thickTop="1" thickBot="1" x14ac:dyDescent="0.4">
      <c r="B771" s="21"/>
      <c r="C771" s="23" t="s">
        <v>42</v>
      </c>
      <c r="D771" s="24"/>
      <c r="E771" s="21"/>
      <c r="G771" s="21"/>
      <c r="H771" s="23" t="s">
        <v>42</v>
      </c>
      <c r="I771" s="24"/>
      <c r="J771" s="21"/>
    </row>
    <row r="772" spans="2:10" ht="15.5" thickTop="1" thickBot="1" x14ac:dyDescent="0.4">
      <c r="B772" s="21" t="s">
        <v>40</v>
      </c>
      <c r="C772" s="145" t="str">
        <f>Summary!C50</f>
        <v>UWASE BERWA Doriane</v>
      </c>
      <c r="D772" s="145"/>
      <c r="E772" s="25"/>
      <c r="G772" s="21" t="s">
        <v>44</v>
      </c>
      <c r="H772" s="145" t="str">
        <f>Summary!C51</f>
        <v>UWASE GISA Grace</v>
      </c>
      <c r="I772" s="145"/>
      <c r="J772" s="25"/>
    </row>
    <row r="773" spans="2:10" ht="15" thickTop="1" x14ac:dyDescent="0.35">
      <c r="B773" s="137" t="s">
        <v>43</v>
      </c>
      <c r="C773" s="139" t="s">
        <v>37</v>
      </c>
      <c r="D773" s="140"/>
      <c r="E773" s="26"/>
      <c r="G773" s="137" t="s">
        <v>43</v>
      </c>
      <c r="H773" s="139" t="s">
        <v>37</v>
      </c>
      <c r="I773" s="140"/>
      <c r="J773" s="26"/>
    </row>
    <row r="774" spans="2:10" ht="15" thickBot="1" x14ac:dyDescent="0.4">
      <c r="B774" s="138"/>
      <c r="C774" s="27" t="s">
        <v>39</v>
      </c>
      <c r="D774" s="28" t="s">
        <v>38</v>
      </c>
      <c r="E774" s="22"/>
      <c r="G774" s="138"/>
      <c r="H774" s="27" t="s">
        <v>39</v>
      </c>
      <c r="I774" s="28" t="s">
        <v>38</v>
      </c>
      <c r="J774" s="22"/>
    </row>
    <row r="775" spans="2:10" ht="15" thickTop="1" x14ac:dyDescent="0.35">
      <c r="B775" s="29" t="s">
        <v>15</v>
      </c>
      <c r="C775" s="30">
        <f t="shared" ref="C775:C780" si="41">C739</f>
        <v>60</v>
      </c>
      <c r="D775" s="31">
        <f>Summary!E50</f>
        <v>49</v>
      </c>
      <c r="E775" s="22"/>
      <c r="G775" s="29" t="s">
        <v>15</v>
      </c>
      <c r="H775" s="30">
        <f t="shared" ref="H775:H780" si="42">C775</f>
        <v>60</v>
      </c>
      <c r="I775" s="31">
        <f>Summary!E51</f>
        <v>60</v>
      </c>
      <c r="J775" s="22"/>
    </row>
    <row r="776" spans="2:10" x14ac:dyDescent="0.35">
      <c r="B776" s="29" t="s">
        <v>30</v>
      </c>
      <c r="C776" s="30">
        <f t="shared" si="41"/>
        <v>30</v>
      </c>
      <c r="D776" s="31">
        <f>Summary!G50</f>
        <v>22</v>
      </c>
      <c r="E776" s="22"/>
      <c r="G776" s="29" t="s">
        <v>30</v>
      </c>
      <c r="H776" s="30">
        <f t="shared" si="42"/>
        <v>30</v>
      </c>
      <c r="I776" s="31">
        <f>Summary!G51</f>
        <v>24</v>
      </c>
      <c r="J776" s="22"/>
    </row>
    <row r="777" spans="2:10" x14ac:dyDescent="0.35">
      <c r="B777" s="29" t="s">
        <v>4</v>
      </c>
      <c r="C777" s="30">
        <f t="shared" si="41"/>
        <v>80</v>
      </c>
      <c r="D777" s="31">
        <f>Summary!I50</f>
        <v>78</v>
      </c>
      <c r="E777" s="22"/>
      <c r="G777" s="29" t="s">
        <v>4</v>
      </c>
      <c r="H777" s="30">
        <f t="shared" si="42"/>
        <v>80</v>
      </c>
      <c r="I777" s="31">
        <f>Summary!I51</f>
        <v>80</v>
      </c>
      <c r="J777" s="22"/>
    </row>
    <row r="778" spans="2:10" x14ac:dyDescent="0.35">
      <c r="B778" s="32" t="s">
        <v>5</v>
      </c>
      <c r="C778" s="30">
        <f t="shared" si="41"/>
        <v>80</v>
      </c>
      <c r="D778" s="31">
        <f>Summary!K50</f>
        <v>68</v>
      </c>
      <c r="E778" s="22"/>
      <c r="G778" s="32" t="s">
        <v>5</v>
      </c>
      <c r="H778" s="30">
        <f t="shared" si="42"/>
        <v>80</v>
      </c>
      <c r="I778" s="31">
        <f>Summary!K51</f>
        <v>78</v>
      </c>
      <c r="J778" s="22"/>
    </row>
    <row r="779" spans="2:10" x14ac:dyDescent="0.35">
      <c r="B779" s="32" t="s">
        <v>17</v>
      </c>
      <c r="C779" s="30">
        <f t="shared" si="41"/>
        <v>30</v>
      </c>
      <c r="D779" s="31">
        <f>Summary!M50</f>
        <v>23</v>
      </c>
      <c r="E779" s="22"/>
      <c r="G779" s="32" t="s">
        <v>17</v>
      </c>
      <c r="H779" s="30">
        <f t="shared" si="42"/>
        <v>30</v>
      </c>
      <c r="I779" s="31">
        <f>Summary!M51</f>
        <v>27</v>
      </c>
      <c r="J779" s="22"/>
    </row>
    <row r="780" spans="2:10" ht="19" thickBot="1" x14ac:dyDescent="0.5">
      <c r="B780" s="32" t="s">
        <v>31</v>
      </c>
      <c r="C780" s="30">
        <f t="shared" si="41"/>
        <v>80</v>
      </c>
      <c r="D780" s="31">
        <f>Summary!O50</f>
        <v>52</v>
      </c>
      <c r="E780" s="22"/>
      <c r="G780" s="32" t="s">
        <v>31</v>
      </c>
      <c r="H780" s="30">
        <f t="shared" si="42"/>
        <v>80</v>
      </c>
      <c r="I780" s="31">
        <f>Summary!O51</f>
        <v>72</v>
      </c>
      <c r="J780" s="22"/>
    </row>
    <row r="781" spans="2:10" ht="15.5" thickTop="1" thickBot="1" x14ac:dyDescent="0.4">
      <c r="B781" s="33" t="s">
        <v>11</v>
      </c>
      <c r="C781" s="39">
        <f>SUM(C775:C780)</f>
        <v>360</v>
      </c>
      <c r="D781" s="38">
        <f>SUM(D775:D780)</f>
        <v>292</v>
      </c>
      <c r="E781" s="22"/>
      <c r="G781" s="33" t="s">
        <v>11</v>
      </c>
      <c r="H781" s="39">
        <f>SUM(H775:H780)</f>
        <v>360</v>
      </c>
      <c r="I781" s="38">
        <f>SUM(I775:I780)</f>
        <v>341</v>
      </c>
      <c r="J781" s="22"/>
    </row>
    <row r="782" spans="2:10" ht="15.5" thickTop="1" thickBot="1" x14ac:dyDescent="0.4">
      <c r="B782" s="34" t="s">
        <v>32</v>
      </c>
      <c r="C782" s="151">
        <f>D781/C781</f>
        <v>0.81111111111111112</v>
      </c>
      <c r="D782" s="153"/>
      <c r="E782" s="22"/>
      <c r="G782" s="34" t="s">
        <v>32</v>
      </c>
      <c r="H782" s="149">
        <f>I781/H781</f>
        <v>0.94722222222222219</v>
      </c>
      <c r="I782" s="150"/>
      <c r="J782" s="22"/>
    </row>
    <row r="783" spans="2:10" ht="15.5" thickTop="1" thickBot="1" x14ac:dyDescent="0.4">
      <c r="B783" s="33" t="s">
        <v>21</v>
      </c>
      <c r="C783" s="84">
        <f>Summary!S50</f>
        <v>32</v>
      </c>
      <c r="D783" s="84">
        <f>Summary!S7</f>
        <v>44</v>
      </c>
      <c r="E783" s="22"/>
      <c r="G783" s="33" t="s">
        <v>21</v>
      </c>
      <c r="H783" s="88">
        <f>Summary!S51</f>
        <v>9</v>
      </c>
      <c r="I783" s="96">
        <f>Summary!S7</f>
        <v>44</v>
      </c>
      <c r="J783" s="22"/>
    </row>
    <row r="784" spans="2:10" ht="27.5" thickTop="1" thickBot="1" x14ac:dyDescent="0.4">
      <c r="B784" s="35" t="s">
        <v>33</v>
      </c>
      <c r="C784" s="143"/>
      <c r="D784" s="147"/>
      <c r="E784" s="22"/>
      <c r="G784" s="35" t="s">
        <v>33</v>
      </c>
      <c r="H784" s="146"/>
      <c r="I784" s="144"/>
      <c r="J784" s="22"/>
    </row>
    <row r="785" spans="2:11" ht="27.5" thickTop="1" thickBot="1" x14ac:dyDescent="0.4">
      <c r="B785" s="35" t="s">
        <v>34</v>
      </c>
      <c r="C785" s="146"/>
      <c r="D785" s="147"/>
      <c r="E785" s="22"/>
      <c r="G785" s="35" t="s">
        <v>34</v>
      </c>
      <c r="H785" s="146"/>
      <c r="I785" s="147"/>
      <c r="J785" s="22"/>
    </row>
    <row r="786" spans="2:11" ht="15" thickTop="1" x14ac:dyDescent="0.35">
      <c r="B786" s="20"/>
      <c r="C786" s="19"/>
      <c r="D786" s="19"/>
      <c r="E786" s="19"/>
      <c r="G786" s="20"/>
      <c r="H786" s="19"/>
      <c r="I786" s="19"/>
      <c r="J786" s="19"/>
    </row>
    <row r="787" spans="2:11" x14ac:dyDescent="0.35">
      <c r="B787" s="148" t="s">
        <v>35</v>
      </c>
      <c r="C787" s="148"/>
      <c r="G787" s="148" t="s">
        <v>35</v>
      </c>
      <c r="H787" s="148"/>
    </row>
    <row r="788" spans="2:11" x14ac:dyDescent="0.35">
      <c r="B788" s="36" t="s">
        <v>36</v>
      </c>
      <c r="C788" s="37">
        <f>C752</f>
        <v>45975</v>
      </c>
      <c r="G788" s="36" t="s">
        <v>36</v>
      </c>
      <c r="H788" s="37">
        <f>C788</f>
        <v>45975</v>
      </c>
    </row>
    <row r="789" spans="2:11" x14ac:dyDescent="0.35">
      <c r="B789" s="20"/>
      <c r="C789" s="19"/>
      <c r="D789" s="19"/>
      <c r="E789" s="19"/>
      <c r="G789" s="20"/>
      <c r="H789" s="19"/>
      <c r="I789" s="19"/>
      <c r="J789" s="19"/>
    </row>
    <row r="790" spans="2:11" x14ac:dyDescent="0.35">
      <c r="B790" s="20"/>
      <c r="C790" s="148"/>
      <c r="D790" s="148"/>
      <c r="E790" s="148"/>
      <c r="F790" s="148"/>
      <c r="G790" s="20"/>
      <c r="H790" s="148"/>
      <c r="I790" s="148"/>
      <c r="J790" s="148"/>
      <c r="K790" s="148"/>
    </row>
    <row r="791" spans="2:11" x14ac:dyDescent="0.35">
      <c r="C791" s="148"/>
      <c r="D791" s="148"/>
      <c r="E791" s="148"/>
      <c r="F791" s="19"/>
      <c r="H791" s="148"/>
      <c r="I791" s="148"/>
      <c r="J791" s="148"/>
      <c r="K791" s="19"/>
    </row>
    <row r="801" spans="1:11" x14ac:dyDescent="0.35">
      <c r="A801" s="97"/>
      <c r="B801" s="99"/>
      <c r="C801" s="99"/>
      <c r="D801" s="99"/>
      <c r="E801" s="99"/>
      <c r="F801" s="99"/>
      <c r="G801" s="99"/>
      <c r="H801" s="99"/>
      <c r="I801" s="99"/>
      <c r="J801" s="99"/>
      <c r="K801" s="99"/>
    </row>
    <row r="802" spans="1:11" x14ac:dyDescent="0.35">
      <c r="A802" s="97"/>
      <c r="B802" s="99"/>
      <c r="C802" s="99"/>
      <c r="D802" s="99"/>
      <c r="E802" s="99"/>
      <c r="F802" s="99"/>
      <c r="G802" s="99"/>
      <c r="H802" s="99"/>
      <c r="I802" s="99"/>
      <c r="J802" s="99"/>
      <c r="K802" s="99"/>
    </row>
    <row r="803" spans="1:11" x14ac:dyDescent="0.35">
      <c r="A803" s="97"/>
      <c r="B803" s="99"/>
      <c r="C803" s="99"/>
      <c r="D803" s="99"/>
      <c r="E803" s="99"/>
      <c r="F803" s="99"/>
      <c r="G803" s="99"/>
      <c r="H803" s="99"/>
      <c r="I803" s="99"/>
      <c r="J803" s="99"/>
      <c r="K803" s="99"/>
    </row>
    <row r="804" spans="1:11" x14ac:dyDescent="0.35">
      <c r="A804" s="97"/>
      <c r="B804" s="99"/>
      <c r="C804" s="99"/>
      <c r="D804" s="99"/>
      <c r="E804" s="99"/>
      <c r="F804" s="99"/>
      <c r="G804" s="99"/>
      <c r="H804" s="99"/>
      <c r="I804" s="99"/>
      <c r="J804" s="99"/>
      <c r="K804" s="99"/>
    </row>
    <row r="805" spans="1:11" x14ac:dyDescent="0.35">
      <c r="A805" s="97"/>
      <c r="B805" s="99" t="s">
        <v>22</v>
      </c>
      <c r="C805" s="99"/>
      <c r="D805" s="99" t="s">
        <v>29</v>
      </c>
      <c r="E805" s="99" t="s">
        <v>49</v>
      </c>
      <c r="F805" s="99"/>
      <c r="G805" s="99" t="s">
        <v>22</v>
      </c>
      <c r="H805" s="99"/>
      <c r="I805" s="99" t="s">
        <v>29</v>
      </c>
      <c r="J805" s="99" t="s">
        <v>49</v>
      </c>
      <c r="K805" s="99"/>
    </row>
    <row r="806" spans="1:11" x14ac:dyDescent="0.35">
      <c r="A806" s="97"/>
      <c r="B806" s="99" t="s">
        <v>23</v>
      </c>
      <c r="C806" s="99"/>
      <c r="D806" s="99"/>
      <c r="E806" s="99"/>
      <c r="F806" s="99"/>
      <c r="G806" s="99" t="s">
        <v>23</v>
      </c>
      <c r="H806" s="99"/>
      <c r="I806" s="99"/>
      <c r="J806" s="99"/>
      <c r="K806" s="99"/>
    </row>
    <row r="807" spans="1:11" x14ac:dyDescent="0.35">
      <c r="A807" s="97"/>
      <c r="B807" s="99" t="s">
        <v>24</v>
      </c>
      <c r="C807" s="99"/>
      <c r="D807" s="99" t="s">
        <v>41</v>
      </c>
      <c r="E807" s="99" t="s">
        <v>51</v>
      </c>
      <c r="F807" s="99"/>
      <c r="G807" s="99" t="s">
        <v>24</v>
      </c>
      <c r="H807" s="99"/>
      <c r="I807" s="99" t="s">
        <v>28</v>
      </c>
      <c r="J807" s="99" t="s">
        <v>51</v>
      </c>
      <c r="K807" s="99"/>
    </row>
    <row r="808" spans="1:11" x14ac:dyDescent="0.35">
      <c r="A808" s="97"/>
      <c r="B808" s="99" t="s">
        <v>25</v>
      </c>
      <c r="C808" s="99"/>
      <c r="D808" s="99"/>
      <c r="E808" s="99"/>
      <c r="F808" s="99"/>
      <c r="G808" s="99" t="s">
        <v>25</v>
      </c>
      <c r="H808" s="99"/>
      <c r="I808" s="99"/>
      <c r="J808" s="99"/>
      <c r="K808" s="99"/>
    </row>
    <row r="809" spans="1:11" x14ac:dyDescent="0.35">
      <c r="A809" s="97"/>
      <c r="B809" s="99" t="s">
        <v>26</v>
      </c>
      <c r="C809" s="99"/>
      <c r="D809" s="99"/>
      <c r="E809" s="99"/>
      <c r="F809" s="99"/>
      <c r="G809" s="99" t="s">
        <v>26</v>
      </c>
      <c r="H809" s="99"/>
      <c r="I809" s="99"/>
      <c r="J809" s="99"/>
      <c r="K809" s="99"/>
    </row>
    <row r="810" spans="1:11" x14ac:dyDescent="0.35">
      <c r="A810" s="97"/>
      <c r="B810" s="99" t="s">
        <v>9</v>
      </c>
      <c r="C810" s="99"/>
      <c r="D810" s="99" t="s">
        <v>12</v>
      </c>
      <c r="E810" s="99" t="s">
        <v>47</v>
      </c>
      <c r="F810" s="99"/>
      <c r="G810" s="99" t="s">
        <v>9</v>
      </c>
      <c r="H810" s="99"/>
      <c r="I810" s="99" t="s">
        <v>14</v>
      </c>
      <c r="J810" s="99" t="s">
        <v>47</v>
      </c>
      <c r="K810" s="99"/>
    </row>
    <row r="811" spans="1:11" x14ac:dyDescent="0.35">
      <c r="A811" s="97"/>
      <c r="B811" s="99" t="s">
        <v>10</v>
      </c>
      <c r="C811" s="99"/>
      <c r="D811" s="99"/>
      <c r="E811" s="99"/>
      <c r="F811" s="99"/>
      <c r="G811" s="99" t="s">
        <v>10</v>
      </c>
      <c r="H811" s="99"/>
      <c r="I811" s="99"/>
      <c r="J811" s="99"/>
      <c r="K811" s="99"/>
    </row>
    <row r="812" spans="1:11" x14ac:dyDescent="0.35">
      <c r="A812" s="97"/>
      <c r="B812" s="99" t="s">
        <v>27</v>
      </c>
      <c r="C812" s="99"/>
      <c r="D812" s="99"/>
      <c r="E812" s="99"/>
      <c r="F812" s="99"/>
      <c r="G812" s="99" t="s">
        <v>27</v>
      </c>
      <c r="H812" s="99"/>
      <c r="I812" s="99"/>
      <c r="J812" s="99"/>
      <c r="K812" s="99"/>
    </row>
    <row r="813" spans="1:11" x14ac:dyDescent="0.35">
      <c r="A813" s="97"/>
      <c r="B813" s="99"/>
      <c r="C813" s="99"/>
      <c r="D813" s="99"/>
      <c r="E813" s="99"/>
      <c r="F813" s="99"/>
      <c r="G813" s="99"/>
      <c r="H813" s="99"/>
      <c r="I813" s="99"/>
      <c r="J813" s="99"/>
      <c r="K813" s="99"/>
    </row>
    <row r="814" spans="1:11" x14ac:dyDescent="0.35">
      <c r="A814" s="97"/>
      <c r="B814" s="99"/>
      <c r="C814" s="100" t="s">
        <v>42</v>
      </c>
      <c r="D814" s="99"/>
      <c r="E814" s="99"/>
      <c r="F814" s="99"/>
      <c r="G814" s="99"/>
      <c r="H814" s="100" t="s">
        <v>42</v>
      </c>
      <c r="I814" s="99"/>
      <c r="J814" s="99"/>
      <c r="K814" s="99"/>
    </row>
    <row r="815" spans="1:11" x14ac:dyDescent="0.35">
      <c r="A815" s="97"/>
      <c r="B815" s="99" t="s">
        <v>52</v>
      </c>
      <c r="C815" s="100" t="str">
        <f>Summary!C50</f>
        <v>UWASE BERWA Doriane</v>
      </c>
      <c r="D815" s="99"/>
      <c r="E815" s="99"/>
      <c r="F815" s="99"/>
      <c r="G815" s="99" t="s">
        <v>53</v>
      </c>
      <c r="H815" s="100" t="str">
        <f>Summary!C51</f>
        <v>UWASE GISA Grace</v>
      </c>
      <c r="I815" s="99"/>
      <c r="J815" s="99"/>
      <c r="K815" s="99"/>
    </row>
    <row r="816" spans="1:11" x14ac:dyDescent="0.35">
      <c r="A816" s="76"/>
      <c r="B816" s="116" t="s">
        <v>43</v>
      </c>
      <c r="C816" s="75" t="s">
        <v>37</v>
      </c>
      <c r="D816" s="75"/>
      <c r="E816" s="99"/>
      <c r="F816" s="99"/>
      <c r="G816" s="116" t="s">
        <v>43</v>
      </c>
      <c r="H816" s="118" t="s">
        <v>37</v>
      </c>
      <c r="I816" s="119"/>
      <c r="J816" s="99"/>
      <c r="K816" s="99"/>
    </row>
    <row r="817" spans="1:11" x14ac:dyDescent="0.35">
      <c r="A817" s="76"/>
      <c r="B817" s="117"/>
      <c r="C817" s="75" t="s">
        <v>39</v>
      </c>
      <c r="D817" s="75" t="s">
        <v>38</v>
      </c>
      <c r="E817" s="99"/>
      <c r="F817" s="99"/>
      <c r="G817" s="117"/>
      <c r="H817" s="76" t="s">
        <v>39</v>
      </c>
      <c r="I817" s="76" t="s">
        <v>38</v>
      </c>
      <c r="J817" s="99"/>
      <c r="K817" s="99"/>
    </row>
    <row r="818" spans="1:11" x14ac:dyDescent="0.35">
      <c r="A818" s="76"/>
      <c r="B818" s="75" t="s">
        <v>15</v>
      </c>
      <c r="C818" s="75">
        <v>60</v>
      </c>
      <c r="D818" s="76">
        <f>Summary!E50</f>
        <v>49</v>
      </c>
      <c r="E818" s="99"/>
      <c r="F818" s="99"/>
      <c r="G818" s="75" t="s">
        <v>15</v>
      </c>
      <c r="H818" s="75">
        <v>60</v>
      </c>
      <c r="I818" s="76">
        <f>Summary!E51</f>
        <v>60</v>
      </c>
      <c r="J818" s="99"/>
      <c r="K818" s="99"/>
    </row>
    <row r="819" spans="1:11" x14ac:dyDescent="0.35">
      <c r="A819" s="76"/>
      <c r="B819" s="75" t="s">
        <v>30</v>
      </c>
      <c r="C819" s="75">
        <v>30</v>
      </c>
      <c r="D819" s="76">
        <f>Summary!G50</f>
        <v>22</v>
      </c>
      <c r="E819" s="99"/>
      <c r="F819" s="99"/>
      <c r="G819" s="75" t="s">
        <v>30</v>
      </c>
      <c r="H819" s="75">
        <v>30</v>
      </c>
      <c r="I819" s="76">
        <f>Summary!G51</f>
        <v>24</v>
      </c>
      <c r="J819" s="99"/>
      <c r="K819" s="99"/>
    </row>
    <row r="820" spans="1:11" x14ac:dyDescent="0.35">
      <c r="A820" s="76"/>
      <c r="B820" s="75" t="s">
        <v>4</v>
      </c>
      <c r="C820" s="75">
        <v>80</v>
      </c>
      <c r="D820" s="76">
        <f>Summary!I50</f>
        <v>78</v>
      </c>
      <c r="E820" s="99"/>
      <c r="F820" s="99"/>
      <c r="G820" s="75" t="s">
        <v>4</v>
      </c>
      <c r="H820" s="75">
        <v>80</v>
      </c>
      <c r="I820" s="76">
        <f>Summary!I51</f>
        <v>80</v>
      </c>
      <c r="J820" s="99"/>
      <c r="K820" s="99"/>
    </row>
    <row r="821" spans="1:11" x14ac:dyDescent="0.35">
      <c r="A821" s="76"/>
      <c r="B821" s="75" t="s">
        <v>5</v>
      </c>
      <c r="C821" s="75">
        <v>80</v>
      </c>
      <c r="D821" s="76">
        <f>Summary!K50</f>
        <v>68</v>
      </c>
      <c r="E821" s="99"/>
      <c r="F821" s="99"/>
      <c r="G821" s="75" t="s">
        <v>5</v>
      </c>
      <c r="H821" s="75">
        <v>80</v>
      </c>
      <c r="I821" s="76">
        <f>Summary!K51</f>
        <v>78</v>
      </c>
      <c r="J821" s="99"/>
      <c r="K821" s="99"/>
    </row>
    <row r="822" spans="1:11" x14ac:dyDescent="0.35">
      <c r="A822" s="76"/>
      <c r="B822" s="75" t="s">
        <v>17</v>
      </c>
      <c r="C822" s="75">
        <v>30</v>
      </c>
      <c r="D822" s="76">
        <f>Summary!M50</f>
        <v>23</v>
      </c>
      <c r="E822" s="99"/>
      <c r="F822" s="99"/>
      <c r="G822" s="75" t="s">
        <v>17</v>
      </c>
      <c r="H822" s="75">
        <v>30</v>
      </c>
      <c r="I822" s="76">
        <f>Summary!M51</f>
        <v>27</v>
      </c>
      <c r="J822" s="99"/>
      <c r="K822" s="99"/>
    </row>
    <row r="823" spans="1:11" x14ac:dyDescent="0.35">
      <c r="A823" s="76"/>
      <c r="B823" s="75" t="s">
        <v>50</v>
      </c>
      <c r="C823" s="75">
        <v>80</v>
      </c>
      <c r="D823" s="76">
        <f>Summary!O50</f>
        <v>52</v>
      </c>
      <c r="E823" s="99"/>
      <c r="F823" s="99"/>
      <c r="G823" s="75" t="s">
        <v>50</v>
      </c>
      <c r="H823" s="75">
        <v>80</v>
      </c>
      <c r="I823" s="76">
        <f>Summary!O51</f>
        <v>72</v>
      </c>
      <c r="J823" s="99"/>
      <c r="K823" s="99"/>
    </row>
    <row r="824" spans="1:11" x14ac:dyDescent="0.35">
      <c r="A824" s="76"/>
      <c r="B824" s="76" t="s">
        <v>11</v>
      </c>
      <c r="C824" s="76">
        <v>360</v>
      </c>
      <c r="D824" s="76">
        <f>SUM(D818:D823)</f>
        <v>292</v>
      </c>
      <c r="E824" s="99"/>
      <c r="F824" s="99"/>
      <c r="G824" s="76" t="s">
        <v>11</v>
      </c>
      <c r="H824" s="76">
        <v>360</v>
      </c>
      <c r="I824" s="76">
        <v>202</v>
      </c>
      <c r="J824" s="99"/>
      <c r="K824" s="99"/>
    </row>
    <row r="825" spans="1:11" x14ac:dyDescent="0.35">
      <c r="A825" s="76"/>
      <c r="B825" s="76" t="s">
        <v>32</v>
      </c>
      <c r="C825" s="76"/>
      <c r="D825" s="102">
        <f>D824/C824*100</f>
        <v>81.111111111111114</v>
      </c>
      <c r="E825" s="99"/>
      <c r="F825" s="99"/>
      <c r="G825" s="76" t="s">
        <v>32</v>
      </c>
      <c r="H825" s="121">
        <f>I824/H824*100</f>
        <v>56.111111111111114</v>
      </c>
      <c r="I825" s="122"/>
      <c r="J825" s="99"/>
      <c r="K825" s="99"/>
    </row>
    <row r="826" spans="1:11" x14ac:dyDescent="0.35">
      <c r="A826" s="97"/>
      <c r="B826" s="76" t="s">
        <v>21</v>
      </c>
      <c r="C826" s="80">
        <f>Summary!S50</f>
        <v>32</v>
      </c>
      <c r="D826" s="101">
        <f>Summary!S7</f>
        <v>44</v>
      </c>
      <c r="E826" s="99"/>
      <c r="F826" s="99"/>
      <c r="G826" s="76" t="s">
        <v>21</v>
      </c>
      <c r="H826" s="80">
        <f>Summary!S51</f>
        <v>9</v>
      </c>
      <c r="I826" s="101">
        <f>Summary!S7</f>
        <v>44</v>
      </c>
      <c r="J826" s="99"/>
      <c r="K826" s="99"/>
    </row>
    <row r="827" spans="1:11" ht="20" customHeight="1" x14ac:dyDescent="0.35">
      <c r="A827" s="97"/>
      <c r="B827" s="76" t="s">
        <v>33</v>
      </c>
      <c r="C827" s="118"/>
      <c r="D827" s="119"/>
      <c r="E827" s="99"/>
      <c r="F827" s="99"/>
      <c r="G827" s="76" t="s">
        <v>33</v>
      </c>
      <c r="H827" s="120"/>
      <c r="I827" s="120"/>
      <c r="J827" s="99"/>
      <c r="K827" s="99"/>
    </row>
    <row r="828" spans="1:11" ht="20" customHeight="1" x14ac:dyDescent="0.35">
      <c r="A828" s="97"/>
      <c r="B828" s="76" t="s">
        <v>34</v>
      </c>
      <c r="C828" s="120"/>
      <c r="D828" s="120"/>
      <c r="E828" s="99"/>
      <c r="F828" s="99"/>
      <c r="G828" s="76" t="s">
        <v>34</v>
      </c>
      <c r="H828" s="120"/>
      <c r="I828" s="120"/>
      <c r="J828" s="99"/>
      <c r="K828" s="99"/>
    </row>
    <row r="829" spans="1:11" x14ac:dyDescent="0.35">
      <c r="A829" s="97"/>
      <c r="B829" s="99"/>
      <c r="C829" s="99"/>
      <c r="D829" s="99"/>
      <c r="E829" s="99"/>
      <c r="F829" s="99"/>
      <c r="G829" s="99"/>
      <c r="H829" s="99"/>
      <c r="I829" s="99"/>
      <c r="J829" s="99"/>
      <c r="K829" s="99"/>
    </row>
    <row r="830" spans="1:11" x14ac:dyDescent="0.35">
      <c r="A830" s="97"/>
      <c r="B830" s="99" t="s">
        <v>35</v>
      </c>
      <c r="C830" s="99"/>
      <c r="D830" s="99"/>
      <c r="E830" s="99"/>
      <c r="F830" s="99"/>
      <c r="G830" s="99" t="s">
        <v>35</v>
      </c>
      <c r="H830" s="99"/>
      <c r="I830" s="99"/>
      <c r="J830" s="99"/>
      <c r="K830" s="99"/>
    </row>
    <row r="831" spans="1:11" x14ac:dyDescent="0.35">
      <c r="A831" s="97"/>
      <c r="B831" s="99" t="s">
        <v>36</v>
      </c>
      <c r="C831" s="103">
        <v>45975</v>
      </c>
      <c r="D831" s="99"/>
      <c r="E831" s="99"/>
      <c r="F831" s="99"/>
      <c r="G831" s="99" t="s">
        <v>36</v>
      </c>
      <c r="H831" s="103">
        <v>45975</v>
      </c>
      <c r="I831" s="99"/>
      <c r="J831" s="99"/>
      <c r="K831" s="99"/>
    </row>
    <row r="832" spans="1:11" x14ac:dyDescent="0.35">
      <c r="A832" s="97"/>
      <c r="B832" s="99"/>
      <c r="C832" s="99"/>
      <c r="D832" s="99"/>
      <c r="E832" s="99"/>
      <c r="F832" s="99"/>
      <c r="G832" s="99"/>
      <c r="H832" s="99"/>
      <c r="I832" s="99"/>
      <c r="J832" s="99"/>
      <c r="K832" s="99"/>
    </row>
    <row r="833" spans="1:11" x14ac:dyDescent="0.35">
      <c r="A833" s="97"/>
      <c r="B833" s="99"/>
      <c r="C833" s="99"/>
      <c r="D833" s="99"/>
      <c r="E833" s="99"/>
      <c r="F833" s="99"/>
      <c r="G833" s="99"/>
      <c r="H833" s="99"/>
      <c r="I833" s="99"/>
      <c r="J833" s="99"/>
      <c r="K833" s="99"/>
    </row>
    <row r="834" spans="1:11" x14ac:dyDescent="0.35">
      <c r="A834" s="97"/>
      <c r="B834" s="99"/>
      <c r="C834" s="99"/>
      <c r="D834" s="99"/>
      <c r="E834" s="99"/>
      <c r="F834" s="99"/>
      <c r="G834" s="99"/>
      <c r="H834" s="99"/>
      <c r="I834" s="99"/>
      <c r="J834" s="99"/>
      <c r="K834" s="99"/>
    </row>
    <row r="835" spans="1:11" x14ac:dyDescent="0.35">
      <c r="A835" s="97"/>
      <c r="B835" s="99"/>
      <c r="C835" s="99"/>
      <c r="D835" s="99"/>
      <c r="E835" s="99"/>
      <c r="F835" s="99"/>
      <c r="G835" s="99"/>
      <c r="H835" s="99"/>
      <c r="I835" s="99"/>
      <c r="J835" s="99"/>
      <c r="K835" s="99"/>
    </row>
    <row r="836" spans="1:11" x14ac:dyDescent="0.35">
      <c r="A836" s="97"/>
      <c r="B836" s="99"/>
      <c r="C836" s="99"/>
      <c r="D836" s="99"/>
      <c r="E836" s="99"/>
      <c r="F836" s="99"/>
      <c r="G836" s="99"/>
      <c r="H836" s="99"/>
      <c r="I836" s="99"/>
      <c r="J836" s="99"/>
      <c r="K836" s="99"/>
    </row>
    <row r="837" spans="1:11" x14ac:dyDescent="0.35">
      <c r="A837" s="76"/>
      <c r="B837" s="98"/>
      <c r="C837" s="98"/>
      <c r="D837" s="98"/>
      <c r="E837" s="98"/>
      <c r="F837" s="98"/>
      <c r="G837" s="98"/>
      <c r="H837" s="98"/>
      <c r="I837" s="98"/>
      <c r="J837" s="98"/>
      <c r="K837" s="98"/>
    </row>
    <row r="838" spans="1:11" x14ac:dyDescent="0.35">
      <c r="A838" s="76"/>
      <c r="B838" s="76"/>
      <c r="C838" s="76"/>
      <c r="D838" s="76"/>
      <c r="E838" s="76"/>
      <c r="F838" s="76"/>
      <c r="G838" s="76"/>
      <c r="H838" s="76"/>
      <c r="I838" s="76"/>
      <c r="J838" s="76"/>
      <c r="K838" s="76"/>
    </row>
    <row r="839" spans="1:11" x14ac:dyDescent="0.35">
      <c r="A839" s="76"/>
      <c r="B839" s="76"/>
      <c r="C839" s="76"/>
      <c r="D839" s="76"/>
      <c r="E839" s="76"/>
      <c r="F839" s="76"/>
      <c r="G839" s="76"/>
      <c r="H839" s="76"/>
      <c r="I839" s="76"/>
      <c r="J839" s="76"/>
      <c r="K839" s="76"/>
    </row>
    <row r="840" spans="1:11" x14ac:dyDescent="0.35">
      <c r="A840" s="76"/>
      <c r="B840" s="76"/>
      <c r="C840" s="76"/>
      <c r="D840" s="76"/>
      <c r="E840" s="76"/>
      <c r="F840" s="76"/>
      <c r="G840" s="76"/>
      <c r="H840" s="76"/>
      <c r="I840" s="76"/>
      <c r="J840" s="76"/>
      <c r="K840" s="76"/>
    </row>
    <row r="841" spans="1:11" x14ac:dyDescent="0.35">
      <c r="A841" s="76"/>
      <c r="B841" s="76"/>
      <c r="C841" s="76"/>
      <c r="D841" s="76"/>
      <c r="E841" s="76"/>
      <c r="F841" s="76"/>
      <c r="G841" s="76"/>
      <c r="H841" s="76"/>
      <c r="I841" s="76"/>
      <c r="J841" s="76"/>
      <c r="K841" s="76"/>
    </row>
    <row r="842" spans="1:11" x14ac:dyDescent="0.35">
      <c r="A842" s="76"/>
      <c r="B842" s="76"/>
      <c r="C842" s="76"/>
      <c r="D842" s="76"/>
      <c r="E842" s="76"/>
      <c r="F842" s="76"/>
      <c r="G842" s="76"/>
      <c r="H842" s="76"/>
      <c r="I842" s="76"/>
      <c r="J842" s="76"/>
      <c r="K842" s="76"/>
    </row>
  </sheetData>
  <mergeCells count="399">
    <mergeCell ref="C791:E791"/>
    <mergeCell ref="H791:J791"/>
    <mergeCell ref="C785:D785"/>
    <mergeCell ref="H785:I785"/>
    <mergeCell ref="B787:C787"/>
    <mergeCell ref="G787:H787"/>
    <mergeCell ref="C790:F790"/>
    <mergeCell ref="H790:K790"/>
    <mergeCell ref="C782:D782"/>
    <mergeCell ref="H782:I782"/>
    <mergeCell ref="C784:D784"/>
    <mergeCell ref="H784:I784"/>
    <mergeCell ref="C772:D772"/>
    <mergeCell ref="H772:I772"/>
    <mergeCell ref="B773:B774"/>
    <mergeCell ref="C773:D773"/>
    <mergeCell ref="G773:G774"/>
    <mergeCell ref="H773:I773"/>
    <mergeCell ref="C749:D749"/>
    <mergeCell ref="H749:I749"/>
    <mergeCell ref="B751:C751"/>
    <mergeCell ref="G751:H751"/>
    <mergeCell ref="C754:F754"/>
    <mergeCell ref="H754:K754"/>
    <mergeCell ref="C746:D746"/>
    <mergeCell ref="H746:I746"/>
    <mergeCell ref="C748:D748"/>
    <mergeCell ref="H748:I748"/>
    <mergeCell ref="C719:E719"/>
    <mergeCell ref="H719:J719"/>
    <mergeCell ref="C736:D736"/>
    <mergeCell ref="H736:I736"/>
    <mergeCell ref="C755:E755"/>
    <mergeCell ref="H755:J755"/>
    <mergeCell ref="C710:D710"/>
    <mergeCell ref="H710:I710"/>
    <mergeCell ref="C712:D712"/>
    <mergeCell ref="H712:I712"/>
    <mergeCell ref="C683:E683"/>
    <mergeCell ref="H683:J683"/>
    <mergeCell ref="C700:D700"/>
    <mergeCell ref="H700:I700"/>
    <mergeCell ref="B737:B738"/>
    <mergeCell ref="C737:D737"/>
    <mergeCell ref="G737:G738"/>
    <mergeCell ref="H737:I737"/>
    <mergeCell ref="C713:D713"/>
    <mergeCell ref="H713:I713"/>
    <mergeCell ref="B715:C715"/>
    <mergeCell ref="G715:H715"/>
    <mergeCell ref="C718:F718"/>
    <mergeCell ref="H718:K718"/>
    <mergeCell ref="C674:D674"/>
    <mergeCell ref="H674:I674"/>
    <mergeCell ref="C676:D676"/>
    <mergeCell ref="H676:I676"/>
    <mergeCell ref="C647:E647"/>
    <mergeCell ref="H647:J647"/>
    <mergeCell ref="C664:D664"/>
    <mergeCell ref="H664:I664"/>
    <mergeCell ref="B701:B702"/>
    <mergeCell ref="C701:D701"/>
    <mergeCell ref="G701:G702"/>
    <mergeCell ref="H701:I701"/>
    <mergeCell ref="C677:D677"/>
    <mergeCell ref="H677:I677"/>
    <mergeCell ref="B679:C679"/>
    <mergeCell ref="G679:H679"/>
    <mergeCell ref="C682:F682"/>
    <mergeCell ref="H682:K682"/>
    <mergeCell ref="C638:D638"/>
    <mergeCell ref="H638:I638"/>
    <mergeCell ref="C640:D640"/>
    <mergeCell ref="H640:I640"/>
    <mergeCell ref="C611:E611"/>
    <mergeCell ref="H611:J611"/>
    <mergeCell ref="C628:D628"/>
    <mergeCell ref="H628:I628"/>
    <mergeCell ref="B665:B666"/>
    <mergeCell ref="C665:D665"/>
    <mergeCell ref="G665:G666"/>
    <mergeCell ref="H665:I665"/>
    <mergeCell ref="C641:D641"/>
    <mergeCell ref="H641:I641"/>
    <mergeCell ref="B643:C643"/>
    <mergeCell ref="G643:H643"/>
    <mergeCell ref="C646:F646"/>
    <mergeCell ref="H646:K646"/>
    <mergeCell ref="C602:D602"/>
    <mergeCell ref="H602:I602"/>
    <mergeCell ref="C604:D604"/>
    <mergeCell ref="H604:I604"/>
    <mergeCell ref="C575:E575"/>
    <mergeCell ref="H575:J575"/>
    <mergeCell ref="C592:D592"/>
    <mergeCell ref="H592:I592"/>
    <mergeCell ref="B629:B630"/>
    <mergeCell ref="C629:D629"/>
    <mergeCell ref="G629:G630"/>
    <mergeCell ref="H629:I629"/>
    <mergeCell ref="C605:D605"/>
    <mergeCell ref="H605:I605"/>
    <mergeCell ref="B607:C607"/>
    <mergeCell ref="G607:H607"/>
    <mergeCell ref="C610:F610"/>
    <mergeCell ref="H610:K610"/>
    <mergeCell ref="C566:D566"/>
    <mergeCell ref="H566:I566"/>
    <mergeCell ref="C568:D568"/>
    <mergeCell ref="H568:I568"/>
    <mergeCell ref="C539:E539"/>
    <mergeCell ref="H539:J539"/>
    <mergeCell ref="C556:D556"/>
    <mergeCell ref="H556:I556"/>
    <mergeCell ref="B593:B594"/>
    <mergeCell ref="C593:D593"/>
    <mergeCell ref="G593:G594"/>
    <mergeCell ref="H593:I593"/>
    <mergeCell ref="C569:D569"/>
    <mergeCell ref="H569:I569"/>
    <mergeCell ref="B571:C571"/>
    <mergeCell ref="G571:H571"/>
    <mergeCell ref="C574:F574"/>
    <mergeCell ref="H574:K574"/>
    <mergeCell ref="C530:D530"/>
    <mergeCell ref="H530:I530"/>
    <mergeCell ref="C532:D532"/>
    <mergeCell ref="H532:I532"/>
    <mergeCell ref="C503:E503"/>
    <mergeCell ref="H503:J503"/>
    <mergeCell ref="C520:D520"/>
    <mergeCell ref="H520:I520"/>
    <mergeCell ref="B557:B558"/>
    <mergeCell ref="C557:D557"/>
    <mergeCell ref="G557:G558"/>
    <mergeCell ref="H557:I557"/>
    <mergeCell ref="C533:D533"/>
    <mergeCell ref="H533:I533"/>
    <mergeCell ref="B535:C535"/>
    <mergeCell ref="G535:H535"/>
    <mergeCell ref="C538:F538"/>
    <mergeCell ref="H538:K538"/>
    <mergeCell ref="C494:D494"/>
    <mergeCell ref="H494:I494"/>
    <mergeCell ref="C496:D496"/>
    <mergeCell ref="H496:I496"/>
    <mergeCell ref="C467:E467"/>
    <mergeCell ref="H467:J467"/>
    <mergeCell ref="B521:B522"/>
    <mergeCell ref="C521:D521"/>
    <mergeCell ref="G521:G522"/>
    <mergeCell ref="H521:I521"/>
    <mergeCell ref="C497:D497"/>
    <mergeCell ref="H497:I497"/>
    <mergeCell ref="B499:C499"/>
    <mergeCell ref="G499:H499"/>
    <mergeCell ref="C502:F502"/>
    <mergeCell ref="H502:K502"/>
    <mergeCell ref="C458:D458"/>
    <mergeCell ref="H458:I458"/>
    <mergeCell ref="C460:D460"/>
    <mergeCell ref="H460:I460"/>
    <mergeCell ref="C431:E431"/>
    <mergeCell ref="H431:J431"/>
    <mergeCell ref="C448:D448"/>
    <mergeCell ref="H448:I448"/>
    <mergeCell ref="B485:B486"/>
    <mergeCell ref="C485:D485"/>
    <mergeCell ref="G485:G486"/>
    <mergeCell ref="H485:I485"/>
    <mergeCell ref="C461:D461"/>
    <mergeCell ref="H461:I461"/>
    <mergeCell ref="B463:C463"/>
    <mergeCell ref="G463:H463"/>
    <mergeCell ref="C466:F466"/>
    <mergeCell ref="H466:K466"/>
    <mergeCell ref="C422:D422"/>
    <mergeCell ref="H422:I422"/>
    <mergeCell ref="C424:D424"/>
    <mergeCell ref="H424:I424"/>
    <mergeCell ref="C395:E395"/>
    <mergeCell ref="H395:J395"/>
    <mergeCell ref="C412:D412"/>
    <mergeCell ref="H412:I412"/>
    <mergeCell ref="B449:B450"/>
    <mergeCell ref="C449:D449"/>
    <mergeCell ref="G449:G450"/>
    <mergeCell ref="H449:I449"/>
    <mergeCell ref="C425:D425"/>
    <mergeCell ref="H425:I425"/>
    <mergeCell ref="B427:C427"/>
    <mergeCell ref="G427:H427"/>
    <mergeCell ref="C430:F430"/>
    <mergeCell ref="H430:K430"/>
    <mergeCell ref="C386:D386"/>
    <mergeCell ref="H386:I386"/>
    <mergeCell ref="C388:D388"/>
    <mergeCell ref="H388:I388"/>
    <mergeCell ref="C359:E359"/>
    <mergeCell ref="H359:J359"/>
    <mergeCell ref="C376:D376"/>
    <mergeCell ref="B413:B414"/>
    <mergeCell ref="C413:D413"/>
    <mergeCell ref="G413:G414"/>
    <mergeCell ref="H413:I413"/>
    <mergeCell ref="C389:D389"/>
    <mergeCell ref="H389:I389"/>
    <mergeCell ref="B391:C391"/>
    <mergeCell ref="G391:H391"/>
    <mergeCell ref="C394:F394"/>
    <mergeCell ref="H394:K394"/>
    <mergeCell ref="C350:D350"/>
    <mergeCell ref="H350:I350"/>
    <mergeCell ref="C352:D352"/>
    <mergeCell ref="H352:I352"/>
    <mergeCell ref="C323:E323"/>
    <mergeCell ref="H323:J323"/>
    <mergeCell ref="C340:D340"/>
    <mergeCell ref="B377:B378"/>
    <mergeCell ref="C377:D377"/>
    <mergeCell ref="G377:G378"/>
    <mergeCell ref="H377:I377"/>
    <mergeCell ref="C353:D353"/>
    <mergeCell ref="H353:I353"/>
    <mergeCell ref="B355:C355"/>
    <mergeCell ref="G355:H355"/>
    <mergeCell ref="C358:F358"/>
    <mergeCell ref="H358:K358"/>
    <mergeCell ref="C314:D314"/>
    <mergeCell ref="H314:I314"/>
    <mergeCell ref="C316:D316"/>
    <mergeCell ref="H316:I316"/>
    <mergeCell ref="C287:E287"/>
    <mergeCell ref="H287:J287"/>
    <mergeCell ref="C304:D304"/>
    <mergeCell ref="H304:I304"/>
    <mergeCell ref="B341:B342"/>
    <mergeCell ref="C341:D341"/>
    <mergeCell ref="G341:G342"/>
    <mergeCell ref="H341:I341"/>
    <mergeCell ref="C317:D317"/>
    <mergeCell ref="H317:I317"/>
    <mergeCell ref="B319:C319"/>
    <mergeCell ref="G319:H319"/>
    <mergeCell ref="C322:F322"/>
    <mergeCell ref="H322:K322"/>
    <mergeCell ref="B305:B306"/>
    <mergeCell ref="C305:D305"/>
    <mergeCell ref="G305:G306"/>
    <mergeCell ref="H305:I305"/>
    <mergeCell ref="C281:D281"/>
    <mergeCell ref="H281:I281"/>
    <mergeCell ref="B283:C283"/>
    <mergeCell ref="G283:H283"/>
    <mergeCell ref="C286:F286"/>
    <mergeCell ref="H286:K286"/>
    <mergeCell ref="C278:D278"/>
    <mergeCell ref="H278:I278"/>
    <mergeCell ref="C280:D280"/>
    <mergeCell ref="H280:I280"/>
    <mergeCell ref="C268:D268"/>
    <mergeCell ref="H268:I268"/>
    <mergeCell ref="B269:B270"/>
    <mergeCell ref="C269:D269"/>
    <mergeCell ref="G269:G270"/>
    <mergeCell ref="H269:I269"/>
    <mergeCell ref="C251:E251"/>
    <mergeCell ref="H251:J251"/>
    <mergeCell ref="C245:D245"/>
    <mergeCell ref="H245:I245"/>
    <mergeCell ref="B247:C247"/>
    <mergeCell ref="G247:H247"/>
    <mergeCell ref="C250:F250"/>
    <mergeCell ref="H250:K250"/>
    <mergeCell ref="C242:D242"/>
    <mergeCell ref="H242:I242"/>
    <mergeCell ref="C244:D244"/>
    <mergeCell ref="H244:I244"/>
    <mergeCell ref="C232:D232"/>
    <mergeCell ref="H232:I232"/>
    <mergeCell ref="B233:B234"/>
    <mergeCell ref="C233:D233"/>
    <mergeCell ref="G233:G234"/>
    <mergeCell ref="H233:I233"/>
    <mergeCell ref="C215:E215"/>
    <mergeCell ref="H215:J215"/>
    <mergeCell ref="C170:D170"/>
    <mergeCell ref="H170:I170"/>
    <mergeCell ref="C172:D172"/>
    <mergeCell ref="H172:I172"/>
    <mergeCell ref="C209:D209"/>
    <mergeCell ref="H209:I209"/>
    <mergeCell ref="B211:C211"/>
    <mergeCell ref="G211:H211"/>
    <mergeCell ref="C214:F214"/>
    <mergeCell ref="H214:K214"/>
    <mergeCell ref="C206:D206"/>
    <mergeCell ref="H206:I206"/>
    <mergeCell ref="C208:D208"/>
    <mergeCell ref="H208:I208"/>
    <mergeCell ref="H160:I160"/>
    <mergeCell ref="B197:B198"/>
    <mergeCell ref="C197:D197"/>
    <mergeCell ref="G197:G198"/>
    <mergeCell ref="H197:I197"/>
    <mergeCell ref="C173:D173"/>
    <mergeCell ref="H173:I173"/>
    <mergeCell ref="B175:C175"/>
    <mergeCell ref="G175:H175"/>
    <mergeCell ref="C178:F178"/>
    <mergeCell ref="H178:K178"/>
    <mergeCell ref="C179:E179"/>
    <mergeCell ref="H179:J179"/>
    <mergeCell ref="C196:D196"/>
    <mergeCell ref="H196:I196"/>
    <mergeCell ref="C134:D134"/>
    <mergeCell ref="H134:I134"/>
    <mergeCell ref="C136:D136"/>
    <mergeCell ref="H136:I136"/>
    <mergeCell ref="C107:E107"/>
    <mergeCell ref="H107:J107"/>
    <mergeCell ref="H124:I124"/>
    <mergeCell ref="B161:B162"/>
    <mergeCell ref="C161:D161"/>
    <mergeCell ref="G161:G162"/>
    <mergeCell ref="H161:I161"/>
    <mergeCell ref="C137:D137"/>
    <mergeCell ref="H137:I137"/>
    <mergeCell ref="B139:C139"/>
    <mergeCell ref="G139:H139"/>
    <mergeCell ref="C142:F142"/>
    <mergeCell ref="H142:K142"/>
    <mergeCell ref="B125:B126"/>
    <mergeCell ref="C125:D125"/>
    <mergeCell ref="G125:G126"/>
    <mergeCell ref="H125:I125"/>
    <mergeCell ref="C143:E143"/>
    <mergeCell ref="H143:J143"/>
    <mergeCell ref="C160:D160"/>
    <mergeCell ref="C101:D101"/>
    <mergeCell ref="H101:I101"/>
    <mergeCell ref="B103:C103"/>
    <mergeCell ref="G103:H103"/>
    <mergeCell ref="C106:F106"/>
    <mergeCell ref="H106:K106"/>
    <mergeCell ref="C98:D98"/>
    <mergeCell ref="H98:I98"/>
    <mergeCell ref="C100:D100"/>
    <mergeCell ref="H100:I100"/>
    <mergeCell ref="C71:E71"/>
    <mergeCell ref="H71:J71"/>
    <mergeCell ref="C88:D88"/>
    <mergeCell ref="H88:I88"/>
    <mergeCell ref="H35:J35"/>
    <mergeCell ref="C52:D52"/>
    <mergeCell ref="H52:I52"/>
    <mergeCell ref="B89:B90"/>
    <mergeCell ref="C89:D89"/>
    <mergeCell ref="G89:G90"/>
    <mergeCell ref="H89:I89"/>
    <mergeCell ref="C64:D64"/>
    <mergeCell ref="H64:I64"/>
    <mergeCell ref="C65:D65"/>
    <mergeCell ref="H65:I65"/>
    <mergeCell ref="B67:C67"/>
    <mergeCell ref="G67:H67"/>
    <mergeCell ref="G53:G54"/>
    <mergeCell ref="H53:I53"/>
    <mergeCell ref="C62:D62"/>
    <mergeCell ref="H62:I62"/>
    <mergeCell ref="H28:I28"/>
    <mergeCell ref="H29:I29"/>
    <mergeCell ref="G31:H31"/>
    <mergeCell ref="H34:K34"/>
    <mergeCell ref="H70:K70"/>
    <mergeCell ref="B816:B817"/>
    <mergeCell ref="C827:D827"/>
    <mergeCell ref="C828:D828"/>
    <mergeCell ref="H816:I816"/>
    <mergeCell ref="H825:I825"/>
    <mergeCell ref="H827:I827"/>
    <mergeCell ref="H828:I828"/>
    <mergeCell ref="G816:G817"/>
    <mergeCell ref="H16:I16"/>
    <mergeCell ref="G17:G18"/>
    <mergeCell ref="H17:I17"/>
    <mergeCell ref="H26:I26"/>
    <mergeCell ref="C34:F34"/>
    <mergeCell ref="C35:E35"/>
    <mergeCell ref="C70:F70"/>
    <mergeCell ref="C29:D29"/>
    <mergeCell ref="B31:C31"/>
    <mergeCell ref="C26:D26"/>
    <mergeCell ref="C28:D28"/>
    <mergeCell ref="C16:D16"/>
    <mergeCell ref="B17:B18"/>
    <mergeCell ref="C17:D17"/>
    <mergeCell ref="B53:B54"/>
    <mergeCell ref="C53:D53"/>
  </mergeCells>
  <pageMargins left="0.7" right="0.7" top="0.75" bottom="0.25" header="0.3" footer="0.3"/>
  <pageSetup scale="82" fitToHeight="0" orientation="landscape" r:id="rId1"/>
  <rowBreaks count="21" manualBreakCount="21">
    <brk id="36" min="1" max="10" man="1"/>
    <brk id="72" min="1" max="10" man="1"/>
    <brk id="108" min="1" max="10" man="1"/>
    <brk id="144" min="1" max="10" man="1"/>
    <brk id="180" min="1" max="10" man="1"/>
    <brk id="215" min="1" max="10" man="1"/>
    <brk id="252" min="1" max="10" man="1"/>
    <brk id="288" min="1" max="10" man="1"/>
    <brk id="324" min="1" max="10" man="1"/>
    <brk id="360" min="1" max="10" man="1"/>
    <brk id="396" min="1" max="10" man="1"/>
    <brk id="432" min="1" max="10" man="1"/>
    <brk id="468" min="1" max="10" man="1"/>
    <brk id="504" min="1" max="10" man="1"/>
    <brk id="540" min="1" max="10" man="1"/>
    <brk id="576" min="1" max="10" man="1"/>
    <brk id="612" min="1" max="10" man="1"/>
    <brk id="648" min="1" max="10" man="1"/>
    <brk id="684" min="1" max="10" man="1"/>
    <brk id="720" min="1" max="10" man="1"/>
    <brk id="756" min="1" max="10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Summary</vt:lpstr>
      <vt:lpstr>PROCRA</vt:lpstr>
      <vt:lpstr>P1A</vt:lpstr>
      <vt:lpstr>P1A!Print_Area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JeandelaPaix Kwihangana [KT Rwanda networks]</dc:creator>
  <cp:lastModifiedBy>HP</cp:lastModifiedBy>
  <cp:lastPrinted>2025-11-14T09:15:50Z</cp:lastPrinted>
  <dcterms:created xsi:type="dcterms:W3CDTF">2021-11-22T09:43:59Z</dcterms:created>
  <dcterms:modified xsi:type="dcterms:W3CDTF">2025-11-14T10:31:59Z</dcterms:modified>
</cp:coreProperties>
</file>